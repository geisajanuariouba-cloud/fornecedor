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ício" state="visible" r:id="rId4"/>
    <sheet sheetId="2" name="Precificação" state="visible" r:id="rId5"/>
    <sheet sheetId="3" name="Controle de Vendas" state="visible" r:id="rId6"/>
    <sheet sheetId="4" name="Controle de Estoque" state="visible" r:id="rId7"/>
    <sheet sheetId="5" name="Resumo" state="visible" r:id="rId8"/>
  </sheets>
  <calcPr calcId="171027"/>
</workbook>
</file>

<file path=xl/sharedStrings.xml><?xml version="1.0" encoding="utf-8"?>
<sst xmlns="http://schemas.openxmlformats.org/spreadsheetml/2006/main" count="64" uniqueCount="57">
  <si>
    <t>FORNECEDORVIP</t>
  </si>
  <si>
    <t>Planilha de Controle + Precificação</t>
  </si>
  <si>
    <t>Sua revenda organizada e lucrativa, sem precisar entender de planilha.</t>
  </si>
  <si>
    <t/>
  </si>
  <si>
    <t>COMO USAR (leva 2 minutos):</t>
  </si>
  <si>
    <t>As células em amarelo são as únicas que você preenche. O resto a planilha calcula sozinha.</t>
  </si>
  <si>
    <t>1)  Aba PRECIFICAÇÃO</t>
  </si>
  <si>
    <t>Coloque o custo do produto, o frete e a taxa do marketplace. A planilha te diz o preço de venda ideal e o lucro de cada produto. Nunca mais venda no prejuízo.</t>
  </si>
  <si>
    <t>2)  Aba CONTROLE DE VENDAS</t>
  </si>
  <si>
    <t>Anote cada venda. A planilha calcula faturamento, taxas e lucro automaticamente.</t>
  </si>
  <si>
    <t>3)  Aba CONTROLE DE ESTOQUE</t>
  </si>
  <si>
    <t>Acompanhe quanto você tem de cada produto. Ela avisa quando é hora de repor.</t>
  </si>
  <si>
    <t>4)  Aba RESUMO</t>
  </si>
  <si>
    <t>Seu painel: faturamento total, lucro, ticket médio e margem. Tudo num lugar só.</t>
  </si>
  <si>
    <t>DICA: comece pela aba Precificação para nunca errar o preço. É lá que está o lucro.</t>
  </si>
  <si>
    <t>PRECIFICAÇÃO INTELIGENTE — preencha as colunas amarelas e veja o preço ideal</t>
  </si>
  <si>
    <t>Produto</t>
  </si>
  <si>
    <t xml:space="preserve">Custo do
produto (R$)</t>
  </si>
  <si>
    <t xml:space="preserve">Frete +
embalagem (R$)</t>
  </si>
  <si>
    <t xml:space="preserve">Taxa do
marketplace (%)</t>
  </si>
  <si>
    <t xml:space="preserve">Margem de
lucro desejada (%)</t>
  </si>
  <si>
    <t xml:space="preserve">Custo
total (R$)</t>
  </si>
  <si>
    <t xml:space="preserve">PREÇO DE VENDA
ideal (R$)</t>
  </si>
  <si>
    <t xml:space="preserve">Lucro por
venda (R$)</t>
  </si>
  <si>
    <t xml:space="preserve">Margem
real (%)</t>
  </si>
  <si>
    <t>Conjunto fitness</t>
  </si>
  <si>
    <t>Perfume importado 50ml</t>
  </si>
  <si>
    <t>Kit maquiagem</t>
  </si>
  <si>
    <t>Taxas comuns: Shopee ~20%  |  Mercado Livre ~16%  |  Venda no Instagram/WhatsApp = 0%</t>
  </si>
  <si>
    <t>CONTROLE DE VENDAS — anote cada venda nas colunas amarelas</t>
  </si>
  <si>
    <t>Data</t>
  </si>
  <si>
    <t>Qtd</t>
  </si>
  <si>
    <t xml:space="preserve">Custo unit.
(R$)</t>
  </si>
  <si>
    <t xml:space="preserve">Preço venda
unit. (R$)</t>
  </si>
  <si>
    <t xml:space="preserve">Taxa
mkt (%)</t>
  </si>
  <si>
    <t xml:space="preserve">Faturamento
(R$)</t>
  </si>
  <si>
    <t xml:space="preserve">Custo total
(R$)</t>
  </si>
  <si>
    <t xml:space="preserve">Taxa paga
(R$)</t>
  </si>
  <si>
    <t xml:space="preserve">LUCRO
(R$)</t>
  </si>
  <si>
    <t>TOTAL</t>
  </si>
  <si>
    <t>CONTROLE DE ESTOQUE — preencha o amarelo, a planilha avisa quando repor</t>
  </si>
  <si>
    <t xml:space="preserve">Estoque
inicial</t>
  </si>
  <si>
    <t xml:space="preserve">Entradas
(comprou)</t>
  </si>
  <si>
    <t xml:space="preserve">Saídas
(vendeu)</t>
  </si>
  <si>
    <t xml:space="preserve">Estoque
atual</t>
  </si>
  <si>
    <t xml:space="preserve">Estoque
mínimo</t>
  </si>
  <si>
    <t>Situação</t>
  </si>
  <si>
    <t>RESUMO DO SEU NEGÓCIO</t>
  </si>
  <si>
    <t>Atualiza sozinho conforme você lança as vendas.</t>
  </si>
  <si>
    <t>Faturamento total</t>
  </si>
  <si>
    <t>Lucro total</t>
  </si>
  <si>
    <t>Total de produtos vendidos</t>
  </si>
  <si>
    <t>Número de vendas (pedidos)</t>
  </si>
  <si>
    <t>Ticket médio</t>
  </si>
  <si>
    <t>Margem de lucro média</t>
  </si>
  <si>
    <t>Total pago em taxas</t>
  </si>
  <si>
    <t>FornecedorVip — fornecedorvip.shop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</si>
</sst>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.00"/>
    <numFmt numFmtId="165" formatCode="0.0%"/>
  </numFmts>
  <fonts count="19" x14ac:knownFonts="1">
    <font>
      <color theme="1"/>
      <family val="2"/>
      <scheme val="minor"/>
      <sz val="11"/>
      <name val="Calibri"/>
    </font>
    <font>
      <b/>
      <color rgb="FFEA580C"/>
      <sz val="20"/>
      <name val="Calibri"/>
    </font>
    <font>
      <b/>
      <color rgb="FF111111"/>
      <sz val="14"/>
      <name val="Calibri"/>
    </font>
    <font>
      <i/>
      <color rgb="FF6B7280"/>
      <sz val="11"/>
      <name val="Calibri"/>
    </font>
    <font>
      <b/>
      <color rgb="FFEA580C"/>
      <sz val="13"/>
      <name val="Calibri"/>
    </font>
    <font>
      <color rgb="FF333333"/>
      <sz val="11"/>
      <name val="Calibri"/>
    </font>
    <font>
      <b/>
      <color rgb="FF111111"/>
      <sz val="12"/>
      <name val="Calibri"/>
    </font>
    <font>
      <b/>
      <color rgb="FF16A34A"/>
      <sz val="11"/>
      <name val="Calibri"/>
    </font>
    <font>
      <b/>
      <color rgb="FFEA580C"/>
      <sz val="12"/>
      <name val="Calibri"/>
    </font>
    <font>
      <b/>
      <color rgb="FFFFFFFF"/>
      <sz val="11"/>
      <name val="Calibri"/>
    </font>
    <font>
      <sz val="11"/>
      <name val="Calibri"/>
    </font>
    <font>
      <color rgb="FF1D4ED8"/>
      <sz val="11"/>
      <name val="Calibri"/>
    </font>
    <font>
      <i/>
      <color rgb="FF6B7280"/>
      <sz val="10"/>
      <name val="Calibri"/>
    </font>
    <font>
      <b/>
      <color rgb="FFFFFFFF"/>
      <name val="Calibri"/>
    </font>
    <font>
      <b/>
      <sz val="11"/>
      <name val="Calibri"/>
    </font>
    <font>
      <b/>
      <color rgb="FFEA580C"/>
      <sz val="16"/>
      <name val="Calibri"/>
    </font>
    <font>
      <b/>
      <color rgb="FF111111"/>
      <sz val="11"/>
      <name val="Calibri"/>
    </font>
    <font>
      <b/>
      <color rgb="FF16A34A"/>
      <sz val="12"/>
      <name val="Calibri"/>
    </font>
    <font>
      <i/>
      <color rgb="FF6B7280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0FDF4"/>
      </patternFill>
    </fill>
    <fill>
      <patternFill patternType="solid">
        <fgColor rgb="FFEA580C"/>
      </patternFill>
    </fill>
    <fill>
      <patternFill patternType="solid">
        <fgColor rgb="FFFEF3C7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164" fontId="11" fillId="4" borderId="1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2" fillId="0" borderId="0" xfId="0" applyFont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1" fontId="11" fillId="4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0" fillId="3" borderId="0" xfId="0" applyFill="1"/>
    <xf numFmtId="0" fontId="13" fillId="3" borderId="0" xfId="0" applyFont="1" applyFill="1" applyAlignment="1">
      <alignment horizontal="right"/>
    </xf>
    <xf numFmtId="164" fontId="13" fillId="3" borderId="1" xfId="0" applyNumberFormat="1" applyFont="1" applyFill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16" fillId="5" borderId="1" xfId="0" applyFont="1" applyFill="1" applyBorder="1" applyAlignment="1">
      <alignment horizontal="left" vertical="center" indent="1"/>
    </xf>
    <xf numFmtId="164" fontId="17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95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t="s">
        <v>3</v>
      </c>
    </row>
    <row r="7" spans="2:2" x14ac:dyDescent="0.25">
      <c r="B7" s="4" t="s">
        <v>4</v>
      </c>
    </row>
    <row r="8" ht="30" customHeight="1" spans="2:2" x14ac:dyDescent="0.25">
      <c r="B8" s="5" t="s">
        <v>5</v>
      </c>
    </row>
    <row r="9" spans="2:2" x14ac:dyDescent="0.25">
      <c r="B9" t="s">
        <v>3</v>
      </c>
    </row>
    <row r="10" spans="2:2" x14ac:dyDescent="0.25">
      <c r="B10" s="6" t="s">
        <v>6</v>
      </c>
    </row>
    <row r="11" ht="30" customHeight="1" spans="2:2" x14ac:dyDescent="0.25">
      <c r="B11" s="5" t="s">
        <v>7</v>
      </c>
    </row>
    <row r="12" spans="2:2" x14ac:dyDescent="0.25">
      <c r="B12" t="s">
        <v>3</v>
      </c>
    </row>
    <row r="13" spans="2:2" x14ac:dyDescent="0.25">
      <c r="B13" s="6" t="s">
        <v>8</v>
      </c>
    </row>
    <row r="14" ht="30" customHeight="1" spans="2:2" x14ac:dyDescent="0.25">
      <c r="B14" s="5" t="s">
        <v>9</v>
      </c>
    </row>
    <row r="15" spans="2:2" x14ac:dyDescent="0.25">
      <c r="B15" t="s">
        <v>3</v>
      </c>
    </row>
    <row r="16" spans="2:2" x14ac:dyDescent="0.25">
      <c r="B16" s="6" t="s">
        <v>10</v>
      </c>
    </row>
    <row r="17" ht="30" customHeight="1" spans="2:2" x14ac:dyDescent="0.25">
      <c r="B17" s="5" t="s">
        <v>11</v>
      </c>
    </row>
    <row r="18" spans="2:2" x14ac:dyDescent="0.25">
      <c r="B18" t="s">
        <v>3</v>
      </c>
    </row>
    <row r="19" spans="2:2" x14ac:dyDescent="0.25">
      <c r="B19" s="6" t="s">
        <v>12</v>
      </c>
    </row>
    <row r="20" ht="30" customHeight="1" spans="2:2" x14ac:dyDescent="0.25">
      <c r="B20" s="5" t="s">
        <v>13</v>
      </c>
    </row>
    <row r="21" spans="2:2" x14ac:dyDescent="0.25">
      <c r="B21" t="s">
        <v>3</v>
      </c>
    </row>
    <row r="22" ht="28" customHeight="1" spans="2:2" x14ac:dyDescent="0.25">
      <c r="B22" s="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3" customWidth="1"/>
    <col min="3" max="4" width="14" customWidth="1"/>
    <col min="5" max="5" width="16" customWidth="1"/>
    <col min="6" max="6" width="12" customWidth="1"/>
    <col min="7" max="7" width="17" customWidth="1"/>
    <col min="8" max="8" width="13" customWidth="1"/>
    <col min="9" max="9" width="11" customWidth="1"/>
  </cols>
  <sheetData>
    <row r="1" spans="1:9" x14ac:dyDescent="0.25">
      <c r="A1" s="8" t="s">
        <v>15</v>
      </c>
      <c r="B1" s="8"/>
      <c r="C1" s="8"/>
      <c r="D1" s="8"/>
      <c r="E1" s="8"/>
      <c r="F1" s="8"/>
      <c r="G1" s="8"/>
      <c r="H1" s="8"/>
      <c r="I1" s="8"/>
    </row>
    <row r="2" ht="38" customHeight="1" spans="1:9" x14ac:dyDescent="0.25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</row>
    <row r="3" spans="1:9" x14ac:dyDescent="0.25">
      <c r="A3" s="10" t="s">
        <v>25</v>
      </c>
      <c r="B3" s="11">
        <v>22</v>
      </c>
      <c r="C3" s="11">
        <v>8</v>
      </c>
      <c r="D3" s="12">
        <v>0.2</v>
      </c>
      <c r="E3" s="12">
        <v>0.3</v>
      </c>
      <c r="F3" s="13">
        <f>IF(B3="","",B3+C3)</f>
      </c>
      <c r="G3" s="14">
        <f>IFERROR(IF(F3="","",F3/(1-D3-E3)),"rever %")</f>
      </c>
      <c r="H3" s="13">
        <f>IFERROR(IF(G3="","",G3-F3-G3*D3),"")</f>
      </c>
      <c r="I3" s="15">
        <f>IFERROR(IF(G3="","",H3/G3),"")</f>
      </c>
    </row>
    <row r="4" spans="1:9" x14ac:dyDescent="0.25">
      <c r="A4" s="10" t="s">
        <v>26</v>
      </c>
      <c r="B4" s="11">
        <v>35</v>
      </c>
      <c r="C4" s="11">
        <v>6</v>
      </c>
      <c r="D4" s="12">
        <v>0.16</v>
      </c>
      <c r="E4" s="12">
        <v>0.35</v>
      </c>
      <c r="F4" s="13">
        <f>IF(B4="","",B4+C4)</f>
      </c>
      <c r="G4" s="14">
        <f>IFERROR(IF(F4="","",F4/(1-D4-E4)),"rever %")</f>
      </c>
      <c r="H4" s="13">
        <f>IFERROR(IF(G4="","",G4-F4-G4*D4),"")</f>
      </c>
      <c r="I4" s="15">
        <f>IFERROR(IF(G4="","",H4/G4),"")</f>
      </c>
    </row>
    <row r="5" spans="1:9" x14ac:dyDescent="0.25">
      <c r="A5" s="10" t="s">
        <v>27</v>
      </c>
      <c r="B5" s="11">
        <v>28</v>
      </c>
      <c r="C5" s="11">
        <v>7</v>
      </c>
      <c r="D5" s="12">
        <v>0.2</v>
      </c>
      <c r="E5" s="12">
        <v>0.3</v>
      </c>
      <c r="F5" s="13">
        <f>IF(B5="","",B5+C5)</f>
      </c>
      <c r="G5" s="14">
        <f>IFERROR(IF(F5="","",F5/(1-D5-E5)),"rever %")</f>
      </c>
      <c r="H5" s="13">
        <f>IFERROR(IF(G5="","",G5-F5-G5*D5),"")</f>
      </c>
      <c r="I5" s="15">
        <f>IFERROR(IF(G5="","",H5/G5),"")</f>
      </c>
    </row>
    <row r="6" spans="1:9" x14ac:dyDescent="0.25">
      <c r="A6" s="10"/>
      <c r="B6" s="11"/>
      <c r="C6" s="11"/>
      <c r="D6" s="12"/>
      <c r="E6" s="12"/>
      <c r="F6" s="13">
        <f>IF(B6="","",B6+C6)</f>
      </c>
      <c r="G6" s="14">
        <f>IFERROR(IF(F6="","",F6/(1-D6-E6)),"rever %")</f>
      </c>
      <c r="H6" s="13">
        <f>IFERROR(IF(G6="","",G6-F6-G6*D6),"")</f>
      </c>
      <c r="I6" s="15">
        <f>IFERROR(IF(G6="","",H6/G6),"")</f>
      </c>
    </row>
    <row r="7" spans="1:9" x14ac:dyDescent="0.25">
      <c r="A7" s="10"/>
      <c r="B7" s="11"/>
      <c r="C7" s="11"/>
      <c r="D7" s="12"/>
      <c r="E7" s="12"/>
      <c r="F7" s="13">
        <f>IF(B7="","",B7+C7)</f>
      </c>
      <c r="G7" s="14">
        <f>IFERROR(IF(F7="","",F7/(1-D7-E7)),"rever %")</f>
      </c>
      <c r="H7" s="13">
        <f>IFERROR(IF(G7="","",G7-F7-G7*D7),"")</f>
      </c>
      <c r="I7" s="15">
        <f>IFERROR(IF(G7="","",H7/G7),"")</f>
      </c>
    </row>
    <row r="8" spans="1:9" x14ac:dyDescent="0.25">
      <c r="A8" s="10"/>
      <c r="B8" s="11"/>
      <c r="C8" s="11"/>
      <c r="D8" s="12"/>
      <c r="E8" s="12"/>
      <c r="F8" s="13">
        <f>IF(B8="","",B8+C8)</f>
      </c>
      <c r="G8" s="14">
        <f>IFERROR(IF(F8="","",F8/(1-D8-E8)),"rever %")</f>
      </c>
      <c r="H8" s="13">
        <f>IFERROR(IF(G8="","",G8-F8-G8*D8),"")</f>
      </c>
      <c r="I8" s="15">
        <f>IFERROR(IF(G8="","",H8/G8),"")</f>
      </c>
    </row>
    <row r="9" spans="1:9" x14ac:dyDescent="0.25">
      <c r="A9" s="10"/>
      <c r="B9" s="11"/>
      <c r="C9" s="11"/>
      <c r="D9" s="12"/>
      <c r="E9" s="12"/>
      <c r="F9" s="13">
        <f>IF(B9="","",B9+C9)</f>
      </c>
      <c r="G9" s="14">
        <f>IFERROR(IF(F9="","",F9/(1-D9-E9)),"rever %")</f>
      </c>
      <c r="H9" s="13">
        <f>IFERROR(IF(G9="","",G9-F9-G9*D9),"")</f>
      </c>
      <c r="I9" s="15">
        <f>IFERROR(IF(G9="","",H9/G9),"")</f>
      </c>
    </row>
    <row r="10" spans="1:9" x14ac:dyDescent="0.25">
      <c r="A10" s="10"/>
      <c r="B10" s="11"/>
      <c r="C10" s="11"/>
      <c r="D10" s="12"/>
      <c r="E10" s="12"/>
      <c r="F10" s="13">
        <f>IF(B10="","",B10+C10)</f>
      </c>
      <c r="G10" s="14">
        <f>IFERROR(IF(F10="","",F10/(1-D10-E10)),"rever %")</f>
      </c>
      <c r="H10" s="13">
        <f>IFERROR(IF(G10="","",G10-F10-G10*D10),"")</f>
      </c>
      <c r="I10" s="15">
        <f>IFERROR(IF(G10="","",H10/G10),"")</f>
      </c>
    </row>
    <row r="11" spans="1:9" x14ac:dyDescent="0.25">
      <c r="A11" s="10"/>
      <c r="B11" s="11"/>
      <c r="C11" s="11"/>
      <c r="D11" s="12"/>
      <c r="E11" s="12"/>
      <c r="F11" s="13">
        <f>IF(B11="","",B11+C11)</f>
      </c>
      <c r="G11" s="14">
        <f>IFERROR(IF(F11="","",F11/(1-D11-E11)),"rever %")</f>
      </c>
      <c r="H11" s="13">
        <f>IFERROR(IF(G11="","",G11-F11-G11*D11),"")</f>
      </c>
      <c r="I11" s="15">
        <f>IFERROR(IF(G11="","",H11/G11),"")</f>
      </c>
    </row>
    <row r="12" spans="1:9" x14ac:dyDescent="0.25">
      <c r="A12" s="10"/>
      <c r="B12" s="11"/>
      <c r="C12" s="11"/>
      <c r="D12" s="12"/>
      <c r="E12" s="12"/>
      <c r="F12" s="13">
        <f>IF(B12="","",B12+C12)</f>
      </c>
      <c r="G12" s="14">
        <f>IFERROR(IF(F12="","",F12/(1-D12-E12)),"rever %")</f>
      </c>
      <c r="H12" s="13">
        <f>IFERROR(IF(G12="","",G12-F12-G12*D12),"")</f>
      </c>
      <c r="I12" s="15">
        <f>IFERROR(IF(G12="","",H12/G12),"")</f>
      </c>
    </row>
    <row r="13" spans="1:9" x14ac:dyDescent="0.25">
      <c r="A13" s="10"/>
      <c r="B13" s="11"/>
      <c r="C13" s="11"/>
      <c r="D13" s="12"/>
      <c r="E13" s="12"/>
      <c r="F13" s="13">
        <f>IF(B13="","",B13+C13)</f>
      </c>
      <c r="G13" s="14">
        <f>IFERROR(IF(F13="","",F13/(1-D13-E13)),"rever %")</f>
      </c>
      <c r="H13" s="13">
        <f>IFERROR(IF(G13="","",G13-F13-G13*D13),"")</f>
      </c>
      <c r="I13" s="15">
        <f>IFERROR(IF(G13="","",H13/G13),"")</f>
      </c>
    </row>
    <row r="14" spans="1:9" x14ac:dyDescent="0.25">
      <c r="A14" s="10"/>
      <c r="B14" s="11"/>
      <c r="C14" s="11"/>
      <c r="D14" s="12"/>
      <c r="E14" s="12"/>
      <c r="F14" s="13">
        <f>IF(B14="","",B14+C14)</f>
      </c>
      <c r="G14" s="14">
        <f>IFERROR(IF(F14="","",F14/(1-D14-E14)),"rever %")</f>
      </c>
      <c r="H14" s="13">
        <f>IFERROR(IF(G14="","",G14-F14-G14*D14),"")</f>
      </c>
      <c r="I14" s="15">
        <f>IFERROR(IF(G14="","",H14/G14),"")</f>
      </c>
    </row>
    <row r="15" spans="1:9" x14ac:dyDescent="0.25">
      <c r="A15" s="10"/>
      <c r="B15" s="11"/>
      <c r="C15" s="11"/>
      <c r="D15" s="12"/>
      <c r="E15" s="12"/>
      <c r="F15" s="13">
        <f>IF(B15="","",B15+C15)</f>
      </c>
      <c r="G15" s="14">
        <f>IFERROR(IF(F15="","",F15/(1-D15-E15)),"rever %")</f>
      </c>
      <c r="H15" s="13">
        <f>IFERROR(IF(G15="","",G15-F15-G15*D15),"")</f>
      </c>
      <c r="I15" s="15">
        <f>IFERROR(IF(G15="","",H15/G15),"")</f>
      </c>
    </row>
    <row r="16" spans="1:9" x14ac:dyDescent="0.25">
      <c r="A16" s="10"/>
      <c r="B16" s="11"/>
      <c r="C16" s="11"/>
      <c r="D16" s="12"/>
      <c r="E16" s="12"/>
      <c r="F16" s="13">
        <f>IF(B16="","",B16+C16)</f>
      </c>
      <c r="G16" s="14">
        <f>IFERROR(IF(F16="","",F16/(1-D16-E16)),"rever %")</f>
      </c>
      <c r="H16" s="13">
        <f>IFERROR(IF(G16="","",G16-F16-G16*D16),"")</f>
      </c>
      <c r="I16" s="15">
        <f>IFERROR(IF(G16="","",H16/G16),"")</f>
      </c>
    </row>
    <row r="17" spans="1:9" x14ac:dyDescent="0.25">
      <c r="A17" s="10"/>
      <c r="B17" s="11"/>
      <c r="C17" s="11"/>
      <c r="D17" s="12"/>
      <c r="E17" s="12"/>
      <c r="F17" s="13">
        <f>IF(B17="","",B17+C17)</f>
      </c>
      <c r="G17" s="14">
        <f>IFERROR(IF(F17="","",F17/(1-D17-E17)),"rever %")</f>
      </c>
      <c r="H17" s="13">
        <f>IFERROR(IF(G17="","",G17-F17-G17*D17),"")</f>
      </c>
      <c r="I17" s="15">
        <f>IFERROR(IF(G17="","",H17/G17),"")</f>
      </c>
    </row>
    <row r="18" spans="1:9" x14ac:dyDescent="0.25">
      <c r="A18" s="10"/>
      <c r="B18" s="11"/>
      <c r="C18" s="11"/>
      <c r="D18" s="12"/>
      <c r="E18" s="12"/>
      <c r="F18" s="13">
        <f>IF(B18="","",B18+C18)</f>
      </c>
      <c r="G18" s="14">
        <f>IFERROR(IF(F18="","",F18/(1-D18-E18)),"rever %")</f>
      </c>
      <c r="H18" s="13">
        <f>IFERROR(IF(G18="","",G18-F18-G18*D18),"")</f>
      </c>
      <c r="I18" s="15">
        <f>IFERROR(IF(G18="","",H18/G18),"")</f>
      </c>
    </row>
    <row r="19" spans="1:9" x14ac:dyDescent="0.25">
      <c r="A19" s="10"/>
      <c r="B19" s="11"/>
      <c r="C19" s="11"/>
      <c r="D19" s="12"/>
      <c r="E19" s="12"/>
      <c r="F19" s="13">
        <f>IF(B19="","",B19+C19)</f>
      </c>
      <c r="G19" s="14">
        <f>IFERROR(IF(F19="","",F19/(1-D19-E19)),"rever %")</f>
      </c>
      <c r="H19" s="13">
        <f>IFERROR(IF(G19="","",G19-F19-G19*D19),"")</f>
      </c>
      <c r="I19" s="15">
        <f>IFERROR(IF(G19="","",H19/G19),"")</f>
      </c>
    </row>
    <row r="20" spans="1:9" x14ac:dyDescent="0.25">
      <c r="A20" s="10"/>
      <c r="B20" s="11"/>
      <c r="C20" s="11"/>
      <c r="D20" s="12"/>
      <c r="E20" s="12"/>
      <c r="F20" s="13">
        <f>IF(B20="","",B20+C20)</f>
      </c>
      <c r="G20" s="14">
        <f>IFERROR(IF(F20="","",F20/(1-D20-E20)),"rever %")</f>
      </c>
      <c r="H20" s="13">
        <f>IFERROR(IF(G20="","",G20-F20-G20*D20),"")</f>
      </c>
      <c r="I20" s="15">
        <f>IFERROR(IF(G20="","",H20/G20),"")</f>
      </c>
    </row>
    <row r="21" spans="1:9" x14ac:dyDescent="0.25">
      <c r="A21" s="10"/>
      <c r="B21" s="11"/>
      <c r="C21" s="11"/>
      <c r="D21" s="12"/>
      <c r="E21" s="12"/>
      <c r="F21" s="13">
        <f>IF(B21="","",B21+C21)</f>
      </c>
      <c r="G21" s="14">
        <f>IFERROR(IF(F21="","",F21/(1-D21-E21)),"rever %")</f>
      </c>
      <c r="H21" s="13">
        <f>IFERROR(IF(G21="","",G21-F21-G21*D21),"")</f>
      </c>
      <c r="I21" s="15">
        <f>IFERROR(IF(G21="","",H21/G21),"")</f>
      </c>
    </row>
    <row r="22" spans="1:9" x14ac:dyDescent="0.25">
      <c r="A22" s="10"/>
      <c r="B22" s="11"/>
      <c r="C22" s="11"/>
      <c r="D22" s="12"/>
      <c r="E22" s="12"/>
      <c r="F22" s="13">
        <f>IF(B22="","",B22+C22)</f>
      </c>
      <c r="G22" s="14">
        <f>IFERROR(IF(F22="","",F22/(1-D22-E22)),"rever %")</f>
      </c>
      <c r="H22" s="13">
        <f>IFERROR(IF(G22="","",G22-F22-G22*D22),"")</f>
      </c>
      <c r="I22" s="15">
        <f>IFERROR(IF(G22="","",H22/G22),"")</f>
      </c>
    </row>
    <row r="23" spans="1:9" x14ac:dyDescent="0.25">
      <c r="A23" s="10"/>
      <c r="B23" s="11"/>
      <c r="C23" s="11"/>
      <c r="D23" s="12"/>
      <c r="E23" s="12"/>
      <c r="F23" s="13">
        <f>IF(B23="","",B23+C23)</f>
      </c>
      <c r="G23" s="14">
        <f>IFERROR(IF(F23="","",F23/(1-D23-E23)),"rever %")</f>
      </c>
      <c r="H23" s="13">
        <f>IFERROR(IF(G23="","",G23-F23-G23*D23),"")</f>
      </c>
      <c r="I23" s="15">
        <f>IFERROR(IF(G23="","",H23/G23),"")</f>
      </c>
    </row>
    <row r="24" spans="1:9" x14ac:dyDescent="0.25">
      <c r="A24" s="10"/>
      <c r="B24" s="11"/>
      <c r="C24" s="11"/>
      <c r="D24" s="12"/>
      <c r="E24" s="12"/>
      <c r="F24" s="13">
        <f>IF(B24="","",B24+C24)</f>
      </c>
      <c r="G24" s="14">
        <f>IFERROR(IF(F24="","",F24/(1-D24-E24)),"rever %")</f>
      </c>
      <c r="H24" s="13">
        <f>IFERROR(IF(G24="","",G24-F24-G24*D24),"")</f>
      </c>
      <c r="I24" s="15">
        <f>IFERROR(IF(G24="","",H24/G24),"")</f>
      </c>
    </row>
    <row r="25" spans="1:9" x14ac:dyDescent="0.25">
      <c r="A25" s="10"/>
      <c r="B25" s="11"/>
      <c r="C25" s="11"/>
      <c r="D25" s="12"/>
      <c r="E25" s="12"/>
      <c r="F25" s="13">
        <f>IF(B25="","",B25+C25)</f>
      </c>
      <c r="G25" s="14">
        <f>IFERROR(IF(F25="","",F25/(1-D25-E25)),"rever %")</f>
      </c>
      <c r="H25" s="13">
        <f>IFERROR(IF(G25="","",G25-F25-G25*D25),"")</f>
      </c>
      <c r="I25" s="15">
        <f>IFERROR(IF(G25="","",H25/G25),"")</f>
      </c>
    </row>
    <row r="26" spans="1:9" x14ac:dyDescent="0.25">
      <c r="A26" s="10"/>
      <c r="B26" s="11"/>
      <c r="C26" s="11"/>
      <c r="D26" s="12"/>
      <c r="E26" s="12"/>
      <c r="F26" s="13">
        <f>IF(B26="","",B26+C26)</f>
      </c>
      <c r="G26" s="14">
        <f>IFERROR(IF(F26="","",F26/(1-D26-E26)),"rever %")</f>
      </c>
      <c r="H26" s="13">
        <f>IFERROR(IF(G26="","",G26-F26-G26*D26),"")</f>
      </c>
      <c r="I26" s="15">
        <f>IFERROR(IF(G26="","",H26/G26),"")</f>
      </c>
    </row>
    <row r="27" spans="1:9" x14ac:dyDescent="0.25">
      <c r="A27" s="10"/>
      <c r="B27" s="11"/>
      <c r="C27" s="11"/>
      <c r="D27" s="12"/>
      <c r="E27" s="12"/>
      <c r="F27" s="13">
        <f>IF(B27="","",B27+C27)</f>
      </c>
      <c r="G27" s="14">
        <f>IFERROR(IF(F27="","",F27/(1-D27-E27)),"rever %")</f>
      </c>
      <c r="H27" s="13">
        <f>IFERROR(IF(G27="","",G27-F27-G27*D27),"")</f>
      </c>
      <c r="I27" s="15">
        <f>IFERROR(IF(G27="","",H27/G27),"")</f>
      </c>
    </row>
    <row r="28" spans="1:9" x14ac:dyDescent="0.25">
      <c r="A28" s="10"/>
      <c r="B28" s="11"/>
      <c r="C28" s="11"/>
      <c r="D28" s="12"/>
      <c r="E28" s="12"/>
      <c r="F28" s="13">
        <f>IF(B28="","",B28+C28)</f>
      </c>
      <c r="G28" s="14">
        <f>IFERROR(IF(F28="","",F28/(1-D28-E28)),"rever %")</f>
      </c>
      <c r="H28" s="13">
        <f>IFERROR(IF(G28="","",G28-F28-G28*D28),"")</f>
      </c>
      <c r="I28" s="15">
        <f>IFERROR(IF(G28="","",H28/G28),"")</f>
      </c>
    </row>
    <row r="29" spans="1:9" x14ac:dyDescent="0.25">
      <c r="A29" s="10"/>
      <c r="B29" s="11"/>
      <c r="C29" s="11"/>
      <c r="D29" s="12"/>
      <c r="E29" s="12"/>
      <c r="F29" s="13">
        <f>IF(B29="","",B29+C29)</f>
      </c>
      <c r="G29" s="14">
        <f>IFERROR(IF(F29="","",F29/(1-D29-E29)),"rever %")</f>
      </c>
      <c r="H29" s="13">
        <f>IFERROR(IF(G29="","",G29-F29-G29*D29),"")</f>
      </c>
      <c r="I29" s="15">
        <f>IFERROR(IF(G29="","",H29/G29),"")</f>
      </c>
    </row>
    <row r="30" spans="1:9" x14ac:dyDescent="0.25">
      <c r="A30" s="10"/>
      <c r="B30" s="11"/>
      <c r="C30" s="11"/>
      <c r="D30" s="12"/>
      <c r="E30" s="12"/>
      <c r="F30" s="13">
        <f>IF(B30="","",B30+C30)</f>
      </c>
      <c r="G30" s="14">
        <f>IFERROR(IF(F30="","",F30/(1-D30-E30)),"rever %")</f>
      </c>
      <c r="H30" s="13">
        <f>IFERROR(IF(G30="","",G30-F30-G30*D30),"")</f>
      </c>
      <c r="I30" s="15">
        <f>IFERROR(IF(G30="","",H30/G30),"")</f>
      </c>
    </row>
    <row r="31" spans="1:9" x14ac:dyDescent="0.25">
      <c r="A31" s="10"/>
      <c r="B31" s="11"/>
      <c r="C31" s="11"/>
      <c r="D31" s="12"/>
      <c r="E31" s="12"/>
      <c r="F31" s="13">
        <f>IF(B31="","",B31+C31)</f>
      </c>
      <c r="G31" s="14">
        <f>IFERROR(IF(F31="","",F31/(1-D31-E31)),"rever %")</f>
      </c>
      <c r="H31" s="13">
        <f>IFERROR(IF(G31="","",G31-F31-G31*D31),"")</f>
      </c>
      <c r="I31" s="15">
        <f>IFERROR(IF(G31="","",H31/G31),"")</f>
      </c>
    </row>
    <row r="32" spans="1:9" x14ac:dyDescent="0.25">
      <c r="A32" s="10"/>
      <c r="B32" s="11"/>
      <c r="C32" s="11"/>
      <c r="D32" s="12"/>
      <c r="E32" s="12"/>
      <c r="F32" s="13">
        <f>IF(B32="","",B32+C32)</f>
      </c>
      <c r="G32" s="14">
        <f>IFERROR(IF(F32="","",F32/(1-D32-E32)),"rever %")</f>
      </c>
      <c r="H32" s="13">
        <f>IFERROR(IF(G32="","",G32-F32-G32*D32),"")</f>
      </c>
      <c r="I32" s="15">
        <f>IFERROR(IF(G32="","",H32/G32),"")</f>
      </c>
    </row>
    <row r="33" spans="1:9" x14ac:dyDescent="0.25">
      <c r="A33" s="10"/>
      <c r="B33" s="11"/>
      <c r="C33" s="11"/>
      <c r="D33" s="12"/>
      <c r="E33" s="12"/>
      <c r="F33" s="13">
        <f>IF(B33="","",B33+C33)</f>
      </c>
      <c r="G33" s="14">
        <f>IFERROR(IF(F33="","",F33/(1-D33-E33)),"rever %")</f>
      </c>
      <c r="H33" s="13">
        <f>IFERROR(IF(G33="","",G33-F33-G33*D33),"")</f>
      </c>
      <c r="I33" s="15">
        <f>IFERROR(IF(G33="","",H33/G33),"")</f>
      </c>
    </row>
    <row r="34" spans="1:9" x14ac:dyDescent="0.25">
      <c r="A34" s="10"/>
      <c r="B34" s="11"/>
      <c r="C34" s="11"/>
      <c r="D34" s="12"/>
      <c r="E34" s="12"/>
      <c r="F34" s="13">
        <f>IF(B34="","",B34+C34)</f>
      </c>
      <c r="G34" s="14">
        <f>IFERROR(IF(F34="","",F34/(1-D34-E34)),"rever %")</f>
      </c>
      <c r="H34" s="13">
        <f>IFERROR(IF(G34="","",G34-F34-G34*D34),"")</f>
      </c>
      <c r="I34" s="15">
        <f>IFERROR(IF(G34="","",H34/G34),"")</f>
      </c>
    </row>
    <row r="35" spans="1:9" x14ac:dyDescent="0.25">
      <c r="A35" s="10"/>
      <c r="B35" s="11"/>
      <c r="C35" s="11"/>
      <c r="D35" s="12"/>
      <c r="E35" s="12"/>
      <c r="F35" s="13">
        <f>IF(B35="","",B35+C35)</f>
      </c>
      <c r="G35" s="14">
        <f>IFERROR(IF(F35="","",F35/(1-D35-E35)),"rever %")</f>
      </c>
      <c r="H35" s="13">
        <f>IFERROR(IF(G35="","",G35-F35-G35*D35),"")</f>
      </c>
      <c r="I35" s="15">
        <f>IFERROR(IF(G35="","",H35/G35),"")</f>
      </c>
    </row>
    <row r="36" spans="1:9" x14ac:dyDescent="0.25">
      <c r="A36" s="10"/>
      <c r="B36" s="11"/>
      <c r="C36" s="11"/>
      <c r="D36" s="12"/>
      <c r="E36" s="12"/>
      <c r="F36" s="13">
        <f>IF(B36="","",B36+C36)</f>
      </c>
      <c r="G36" s="14">
        <f>IFERROR(IF(F36="","",F36/(1-D36-E36)),"rever %")</f>
      </c>
      <c r="H36" s="13">
        <f>IFERROR(IF(G36="","",G36-F36-G36*D36),"")</f>
      </c>
      <c r="I36" s="15">
        <f>IFERROR(IF(G36="","",H36/G36),"")</f>
      </c>
    </row>
    <row r="37" spans="1:9" x14ac:dyDescent="0.25">
      <c r="A37" s="10"/>
      <c r="B37" s="11"/>
      <c r="C37" s="11"/>
      <c r="D37" s="12"/>
      <c r="E37" s="12"/>
      <c r="F37" s="13">
        <f>IF(B37="","",B37+C37)</f>
      </c>
      <c r="G37" s="14">
        <f>IFERROR(IF(F37="","",F37/(1-D37-E37)),"rever %")</f>
      </c>
      <c r="H37" s="13">
        <f>IFERROR(IF(G37="","",G37-F37-G37*D37),"")</f>
      </c>
      <c r="I37" s="15">
        <f>IFERROR(IF(G37="","",H37/G37),"")</f>
      </c>
    </row>
    <row r="38" spans="1:9" x14ac:dyDescent="0.25">
      <c r="A38" s="10"/>
      <c r="B38" s="11"/>
      <c r="C38" s="11"/>
      <c r="D38" s="12"/>
      <c r="E38" s="12"/>
      <c r="F38" s="13">
        <f>IF(B38="","",B38+C38)</f>
      </c>
      <c r="G38" s="14">
        <f>IFERROR(IF(F38="","",F38/(1-D38-E38)),"rever %")</f>
      </c>
      <c r="H38" s="13">
        <f>IFERROR(IF(G38="","",G38-F38-G38*D38),"")</f>
      </c>
      <c r="I38" s="15">
        <f>IFERROR(IF(G38="","",H38/G38),"")</f>
      </c>
    </row>
    <row r="39" spans="1:9" x14ac:dyDescent="0.25">
      <c r="A39" s="10"/>
      <c r="B39" s="11"/>
      <c r="C39" s="11"/>
      <c r="D39" s="12"/>
      <c r="E39" s="12"/>
      <c r="F39" s="13">
        <f>IF(B39="","",B39+C39)</f>
      </c>
      <c r="G39" s="14">
        <f>IFERROR(IF(F39="","",F39/(1-D39-E39)),"rever %")</f>
      </c>
      <c r="H39" s="13">
        <f>IFERROR(IF(G39="","",G39-F39-G39*D39),"")</f>
      </c>
      <c r="I39" s="15">
        <f>IFERROR(IF(G39="","",H39/G39),"")</f>
      </c>
    </row>
    <row r="40" spans="1:9" x14ac:dyDescent="0.25">
      <c r="A40" s="10"/>
      <c r="B40" s="11"/>
      <c r="C40" s="11"/>
      <c r="D40" s="12"/>
      <c r="E40" s="12"/>
      <c r="F40" s="13">
        <f>IF(B40="","",B40+C40)</f>
      </c>
      <c r="G40" s="14">
        <f>IFERROR(IF(F40="","",F40/(1-D40-E40)),"rever %")</f>
      </c>
      <c r="H40" s="13">
        <f>IFERROR(IF(G40="","",G40-F40-G40*D40),"")</f>
      </c>
      <c r="I40" s="15">
        <f>IFERROR(IF(G40="","",H40/G40),"")</f>
      </c>
    </row>
    <row r="41" spans="1:9" x14ac:dyDescent="0.25">
      <c r="A41" s="10"/>
      <c r="B41" s="11"/>
      <c r="C41" s="11"/>
      <c r="D41" s="12"/>
      <c r="E41" s="12"/>
      <c r="F41" s="13">
        <f>IF(B41="","",B41+C41)</f>
      </c>
      <c r="G41" s="14">
        <f>IFERROR(IF(F41="","",F41/(1-D41-E41)),"rever %")</f>
      </c>
      <c r="H41" s="13">
        <f>IFERROR(IF(G41="","",G41-F41-G41*D41),"")</f>
      </c>
      <c r="I41" s="15">
        <f>IFERROR(IF(G41="","",H41/G41),"")</f>
      </c>
    </row>
    <row r="42" spans="1:9" x14ac:dyDescent="0.25">
      <c r="A42" s="10"/>
      <c r="B42" s="11"/>
      <c r="C42" s="11"/>
      <c r="D42" s="12"/>
      <c r="E42" s="12"/>
      <c r="F42" s="13">
        <f>IF(B42="","",B42+C42)</f>
      </c>
      <c r="G42" s="14">
        <f>IFERROR(IF(F42="","",F42/(1-D42-E42)),"rever %")</f>
      </c>
      <c r="H42" s="13">
        <f>IFERROR(IF(G42="","",G42-F42-G42*D42),"")</f>
      </c>
      <c r="I42" s="15">
        <f>IFERROR(IF(G42="","",H42/G42),"")</f>
      </c>
    </row>
    <row r="43" spans="1:9" x14ac:dyDescent="0.25">
      <c r="A43" s="10"/>
      <c r="B43" s="11"/>
      <c r="C43" s="11"/>
      <c r="D43" s="12"/>
      <c r="E43" s="12"/>
      <c r="F43" s="13">
        <f>IF(B43="","",B43+C43)</f>
      </c>
      <c r="G43" s="14">
        <f>IFERROR(IF(F43="","",F43/(1-D43-E43)),"rever %")</f>
      </c>
      <c r="H43" s="13">
        <f>IFERROR(IF(G43="","",G43-F43-G43*D43),"")</f>
      </c>
      <c r="I43" s="15">
        <f>IFERROR(IF(G43="","",H43/G43),"")</f>
      </c>
    </row>
    <row r="44" spans="1:9" x14ac:dyDescent="0.25">
      <c r="A44" s="10"/>
      <c r="B44" s="11"/>
      <c r="C44" s="11"/>
      <c r="D44" s="12"/>
      <c r="E44" s="12"/>
      <c r="F44" s="13">
        <f>IF(B44="","",B44+C44)</f>
      </c>
      <c r="G44" s="14">
        <f>IFERROR(IF(F44="","",F44/(1-D44-E44)),"rever %")</f>
      </c>
      <c r="H44" s="13">
        <f>IFERROR(IF(G44="","",G44-F44-G44*D44),"")</f>
      </c>
      <c r="I44" s="15">
        <f>IFERROR(IF(G44="","",H44/G44),"")</f>
      </c>
    </row>
    <row r="45" spans="1:9" x14ac:dyDescent="0.25">
      <c r="A45" s="10"/>
      <c r="B45" s="11"/>
      <c r="C45" s="11"/>
      <c r="D45" s="12"/>
      <c r="E45" s="12"/>
      <c r="F45" s="13">
        <f>IF(B45="","",B45+C45)</f>
      </c>
      <c r="G45" s="14">
        <f>IFERROR(IF(F45="","",F45/(1-D45-E45)),"rever %")</f>
      </c>
      <c r="H45" s="13">
        <f>IFERROR(IF(G45="","",G45-F45-G45*D45),"")</f>
      </c>
      <c r="I45" s="15">
        <f>IFERROR(IF(G45="","",H45/G45),"")</f>
      </c>
    </row>
    <row r="46" spans="1:9" x14ac:dyDescent="0.25">
      <c r="A46" s="10"/>
      <c r="B46" s="11"/>
      <c r="C46" s="11"/>
      <c r="D46" s="12"/>
      <c r="E46" s="12"/>
      <c r="F46" s="13">
        <f>IF(B46="","",B46+C46)</f>
      </c>
      <c r="G46" s="14">
        <f>IFERROR(IF(F46="","",F46/(1-D46-E46)),"rever %")</f>
      </c>
      <c r="H46" s="13">
        <f>IFERROR(IF(G46="","",G46-F46-G46*D46),"")</f>
      </c>
      <c r="I46" s="15">
        <f>IFERROR(IF(G46="","",H46/G46),"")</f>
      </c>
    </row>
    <row r="47" spans="1:9" x14ac:dyDescent="0.25">
      <c r="A47" s="10"/>
      <c r="B47" s="11"/>
      <c r="C47" s="11"/>
      <c r="D47" s="12"/>
      <c r="E47" s="12"/>
      <c r="F47" s="13">
        <f>IF(B47="","",B47+C47)</f>
      </c>
      <c r="G47" s="14">
        <f>IFERROR(IF(F47="","",F47/(1-D47-E47)),"rever %")</f>
      </c>
      <c r="H47" s="13">
        <f>IFERROR(IF(G47="","",G47-F47-G47*D47),"")</f>
      </c>
      <c r="I47" s="15">
        <f>IFERROR(IF(G47="","",H47/G47),"")</f>
      </c>
    </row>
    <row r="48" spans="1:9" x14ac:dyDescent="0.25">
      <c r="A48" s="10"/>
      <c r="B48" s="11"/>
      <c r="C48" s="11"/>
      <c r="D48" s="12"/>
      <c r="E48" s="12"/>
      <c r="F48" s="13">
        <f>IF(B48="","",B48+C48)</f>
      </c>
      <c r="G48" s="14">
        <f>IFERROR(IF(F48="","",F48/(1-D48-E48)),"rever %")</f>
      </c>
      <c r="H48" s="13">
        <f>IFERROR(IF(G48="","",G48-F48-G48*D48),"")</f>
      </c>
      <c r="I48" s="15">
        <f>IFERROR(IF(G48="","",H48/G48),"")</f>
      </c>
    </row>
    <row r="49" spans="1:9" x14ac:dyDescent="0.25">
      <c r="A49" s="10"/>
      <c r="B49" s="11"/>
      <c r="C49" s="11"/>
      <c r="D49" s="12"/>
      <c r="E49" s="12"/>
      <c r="F49" s="13">
        <f>IF(B49="","",B49+C49)</f>
      </c>
      <c r="G49" s="14">
        <f>IFERROR(IF(F49="","",F49/(1-D49-E49)),"rever %")</f>
      </c>
      <c r="H49" s="13">
        <f>IFERROR(IF(G49="","",G49-F49-G49*D49),"")</f>
      </c>
      <c r="I49" s="15">
        <f>IFERROR(IF(G49="","",H49/G49),"")</f>
      </c>
    </row>
    <row r="50" spans="1:9" x14ac:dyDescent="0.25">
      <c r="A50" s="10"/>
      <c r="B50" s="11"/>
      <c r="C50" s="11"/>
      <c r="D50" s="12"/>
      <c r="E50" s="12"/>
      <c r="F50" s="13">
        <f>IF(B50="","",B50+C50)</f>
      </c>
      <c r="G50" s="14">
        <f>IFERROR(IF(F50="","",F50/(1-D50-E50)),"rever %")</f>
      </c>
      <c r="H50" s="13">
        <f>IFERROR(IF(G50="","",G50-F50-G50*D50),"")</f>
      </c>
      <c r="I50" s="15">
        <f>IFERROR(IF(G50="","",H50/G50),"")</f>
      </c>
    </row>
    <row r="51" spans="1:9" x14ac:dyDescent="0.25">
      <c r="A51" s="10"/>
      <c r="B51" s="11"/>
      <c r="C51" s="11"/>
      <c r="D51" s="12"/>
      <c r="E51" s="12"/>
      <c r="F51" s="13">
        <f>IF(B51="","",B51+C51)</f>
      </c>
      <c r="G51" s="14">
        <f>IFERROR(IF(F51="","",F51/(1-D51-E51)),"rever %")</f>
      </c>
      <c r="H51" s="13">
        <f>IFERROR(IF(G51="","",G51-F51-G51*D51),"")</f>
      </c>
      <c r="I51" s="15">
        <f>IFERROR(IF(G51="","",H51/G51),"")</f>
      </c>
    </row>
    <row r="52" spans="1:9" x14ac:dyDescent="0.25">
      <c r="A52" s="10"/>
      <c r="B52" s="11"/>
      <c r="C52" s="11"/>
      <c r="D52" s="12"/>
      <c r="E52" s="12"/>
      <c r="F52" s="13">
        <f>IF(B52="","",B52+C52)</f>
      </c>
      <c r="G52" s="14">
        <f>IFERROR(IF(F52="","",F52/(1-D52-E52)),"rever %")</f>
      </c>
      <c r="H52" s="13">
        <f>IFERROR(IF(G52="","",G52-F52-G52*D52),"")</f>
      </c>
      <c r="I52" s="15">
        <f>IFERROR(IF(G52="","",H52/G52),"")</f>
      </c>
    </row>
    <row r="54" spans="1:9" x14ac:dyDescent="0.25">
      <c r="A54" s="16" t="s">
        <v>28</v>
      </c>
      <c r="B54" s="16"/>
      <c r="C54" s="16"/>
      <c r="D54" s="16"/>
      <c r="E54" s="16"/>
      <c r="F54" s="16"/>
      <c r="G54" s="16"/>
      <c r="H54" s="16"/>
      <c r="I54" s="16"/>
    </row>
  </sheetData>
  <mergeCells count="2">
    <mergeCell ref="A1:I1"/>
    <mergeCell ref="A54:I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6" customWidth="1"/>
    <col min="3" max="3" width="7" customWidth="1"/>
    <col min="4" max="4" width="12" customWidth="1"/>
    <col min="5" max="5" width="13" customWidth="1"/>
    <col min="7" max="7" width="14" customWidth="1"/>
    <col min="8" max="8" width="13" customWidth="1"/>
    <col min="9" max="9" width="12" customWidth="1"/>
    <col min="10" max="10" width="13" customWidth="1"/>
  </cols>
  <sheetData>
    <row r="1" spans="1:10" x14ac:dyDescent="0.25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</row>
    <row r="2" ht="38" customHeight="1" spans="1:10" x14ac:dyDescent="0.25">
      <c r="A2" s="9" t="s">
        <v>30</v>
      </c>
      <c r="B2" s="9" t="s">
        <v>16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</row>
    <row r="3" spans="1:10" x14ac:dyDescent="0.25">
      <c r="A3" s="17"/>
      <c r="B3" s="18"/>
      <c r="C3" s="19"/>
      <c r="D3" s="11"/>
      <c r="E3" s="11"/>
      <c r="F3" s="12"/>
      <c r="G3" s="13">
        <f>IF(C3="","",C3*E3)</f>
      </c>
      <c r="H3" s="13">
        <f>IF(C3="","",C3*D3)</f>
      </c>
      <c r="I3" s="13">
        <f>IF(C3="","",G3*F3)</f>
      </c>
      <c r="J3" s="20">
        <f>IF(C3="","",G3-H3-I3)</f>
      </c>
    </row>
    <row r="4" spans="1:10" x14ac:dyDescent="0.25">
      <c r="A4" s="17"/>
      <c r="B4" s="18"/>
      <c r="C4" s="19"/>
      <c r="D4" s="11"/>
      <c r="E4" s="11"/>
      <c r="F4" s="12"/>
      <c r="G4" s="13">
        <f>IF(C4="","",C4*E4)</f>
      </c>
      <c r="H4" s="13">
        <f>IF(C4="","",C4*D4)</f>
      </c>
      <c r="I4" s="13">
        <f>IF(C4="","",G4*F4)</f>
      </c>
      <c r="J4" s="20">
        <f>IF(C4="","",G4-H4-I4)</f>
      </c>
    </row>
    <row r="5" spans="1:10" x14ac:dyDescent="0.25">
      <c r="A5" s="17"/>
      <c r="B5" s="18"/>
      <c r="C5" s="19"/>
      <c r="D5" s="11"/>
      <c r="E5" s="11"/>
      <c r="F5" s="12"/>
      <c r="G5" s="13">
        <f>IF(C5="","",C5*E5)</f>
      </c>
      <c r="H5" s="13">
        <f>IF(C5="","",C5*D5)</f>
      </c>
      <c r="I5" s="13">
        <f>IF(C5="","",G5*F5)</f>
      </c>
      <c r="J5" s="20">
        <f>IF(C5="","",G5-H5-I5)</f>
      </c>
    </row>
    <row r="6" spans="1:10" x14ac:dyDescent="0.25">
      <c r="A6" s="17"/>
      <c r="B6" s="18"/>
      <c r="C6" s="19"/>
      <c r="D6" s="11"/>
      <c r="E6" s="11"/>
      <c r="F6" s="12"/>
      <c r="G6" s="13">
        <f>IF(C6="","",C6*E6)</f>
      </c>
      <c r="H6" s="13">
        <f>IF(C6="","",C6*D6)</f>
      </c>
      <c r="I6" s="13">
        <f>IF(C6="","",G6*F6)</f>
      </c>
      <c r="J6" s="20">
        <f>IF(C6="","",G6-H6-I6)</f>
      </c>
    </row>
    <row r="7" spans="1:10" x14ac:dyDescent="0.25">
      <c r="A7" s="17"/>
      <c r="B7" s="18"/>
      <c r="C7" s="19"/>
      <c r="D7" s="11"/>
      <c r="E7" s="11"/>
      <c r="F7" s="12"/>
      <c r="G7" s="13">
        <f>IF(C7="","",C7*E7)</f>
      </c>
      <c r="H7" s="13">
        <f>IF(C7="","",C7*D7)</f>
      </c>
      <c r="I7" s="13">
        <f>IF(C7="","",G7*F7)</f>
      </c>
      <c r="J7" s="20">
        <f>IF(C7="","",G7-H7-I7)</f>
      </c>
    </row>
    <row r="8" spans="1:10" x14ac:dyDescent="0.25">
      <c r="A8" s="17"/>
      <c r="B8" s="18"/>
      <c r="C8" s="19"/>
      <c r="D8" s="11"/>
      <c r="E8" s="11"/>
      <c r="F8" s="12"/>
      <c r="G8" s="13">
        <f>IF(C8="","",C8*E8)</f>
      </c>
      <c r="H8" s="13">
        <f>IF(C8="","",C8*D8)</f>
      </c>
      <c r="I8" s="13">
        <f>IF(C8="","",G8*F8)</f>
      </c>
      <c r="J8" s="20">
        <f>IF(C8="","",G8-H8-I8)</f>
      </c>
    </row>
    <row r="9" spans="1:10" x14ac:dyDescent="0.25">
      <c r="A9" s="17"/>
      <c r="B9" s="18"/>
      <c r="C9" s="19"/>
      <c r="D9" s="11"/>
      <c r="E9" s="11"/>
      <c r="F9" s="12"/>
      <c r="G9" s="13">
        <f>IF(C9="","",C9*E9)</f>
      </c>
      <c r="H9" s="13">
        <f>IF(C9="","",C9*D9)</f>
      </c>
      <c r="I9" s="13">
        <f>IF(C9="","",G9*F9)</f>
      </c>
      <c r="J9" s="20">
        <f>IF(C9="","",G9-H9-I9)</f>
      </c>
    </row>
    <row r="10" spans="1:10" x14ac:dyDescent="0.25">
      <c r="A10" s="17"/>
      <c r="B10" s="18"/>
      <c r="C10" s="19"/>
      <c r="D10" s="11"/>
      <c r="E10" s="11"/>
      <c r="F10" s="12"/>
      <c r="G10" s="13">
        <f>IF(C10="","",C10*E10)</f>
      </c>
      <c r="H10" s="13">
        <f>IF(C10="","",C10*D10)</f>
      </c>
      <c r="I10" s="13">
        <f>IF(C10="","",G10*F10)</f>
      </c>
      <c r="J10" s="20">
        <f>IF(C10="","",G10-H10-I10)</f>
      </c>
    </row>
    <row r="11" spans="1:10" x14ac:dyDescent="0.25">
      <c r="A11" s="17"/>
      <c r="B11" s="18"/>
      <c r="C11" s="19"/>
      <c r="D11" s="11"/>
      <c r="E11" s="11"/>
      <c r="F11" s="12"/>
      <c r="G11" s="13">
        <f>IF(C11="","",C11*E11)</f>
      </c>
      <c r="H11" s="13">
        <f>IF(C11="","",C11*D11)</f>
      </c>
      <c r="I11" s="13">
        <f>IF(C11="","",G11*F11)</f>
      </c>
      <c r="J11" s="20">
        <f>IF(C11="","",G11-H11-I11)</f>
      </c>
    </row>
    <row r="12" spans="1:10" x14ac:dyDescent="0.25">
      <c r="A12" s="17"/>
      <c r="B12" s="18"/>
      <c r="C12" s="19"/>
      <c r="D12" s="11"/>
      <c r="E12" s="11"/>
      <c r="F12" s="12"/>
      <c r="G12" s="13">
        <f>IF(C12="","",C12*E12)</f>
      </c>
      <c r="H12" s="13">
        <f>IF(C12="","",C12*D12)</f>
      </c>
      <c r="I12" s="13">
        <f>IF(C12="","",G12*F12)</f>
      </c>
      <c r="J12" s="20">
        <f>IF(C12="","",G12-H12-I12)</f>
      </c>
    </row>
    <row r="13" spans="1:10" x14ac:dyDescent="0.25">
      <c r="A13" s="17"/>
      <c r="B13" s="18"/>
      <c r="C13" s="19"/>
      <c r="D13" s="11"/>
      <c r="E13" s="11"/>
      <c r="F13" s="12"/>
      <c r="G13" s="13">
        <f>IF(C13="","",C13*E13)</f>
      </c>
      <c r="H13" s="13">
        <f>IF(C13="","",C13*D13)</f>
      </c>
      <c r="I13" s="13">
        <f>IF(C13="","",G13*F13)</f>
      </c>
      <c r="J13" s="20">
        <f>IF(C13="","",G13-H13-I13)</f>
      </c>
    </row>
    <row r="14" spans="1:10" x14ac:dyDescent="0.25">
      <c r="A14" s="17"/>
      <c r="B14" s="18"/>
      <c r="C14" s="19"/>
      <c r="D14" s="11"/>
      <c r="E14" s="11"/>
      <c r="F14" s="12"/>
      <c r="G14" s="13">
        <f>IF(C14="","",C14*E14)</f>
      </c>
      <c r="H14" s="13">
        <f>IF(C14="","",C14*D14)</f>
      </c>
      <c r="I14" s="13">
        <f>IF(C14="","",G14*F14)</f>
      </c>
      <c r="J14" s="20">
        <f>IF(C14="","",G14-H14-I14)</f>
      </c>
    </row>
    <row r="15" spans="1:10" x14ac:dyDescent="0.25">
      <c r="A15" s="17"/>
      <c r="B15" s="18"/>
      <c r="C15" s="19"/>
      <c r="D15" s="11"/>
      <c r="E15" s="11"/>
      <c r="F15" s="12"/>
      <c r="G15" s="13">
        <f>IF(C15="","",C15*E15)</f>
      </c>
      <c r="H15" s="13">
        <f>IF(C15="","",C15*D15)</f>
      </c>
      <c r="I15" s="13">
        <f>IF(C15="","",G15*F15)</f>
      </c>
      <c r="J15" s="20">
        <f>IF(C15="","",G15-H15-I15)</f>
      </c>
    </row>
    <row r="16" spans="1:10" x14ac:dyDescent="0.25">
      <c r="A16" s="17"/>
      <c r="B16" s="18"/>
      <c r="C16" s="19"/>
      <c r="D16" s="11"/>
      <c r="E16" s="11"/>
      <c r="F16" s="12"/>
      <c r="G16" s="13">
        <f>IF(C16="","",C16*E16)</f>
      </c>
      <c r="H16" s="13">
        <f>IF(C16="","",C16*D16)</f>
      </c>
      <c r="I16" s="13">
        <f>IF(C16="","",G16*F16)</f>
      </c>
      <c r="J16" s="20">
        <f>IF(C16="","",G16-H16-I16)</f>
      </c>
    </row>
    <row r="17" spans="1:10" x14ac:dyDescent="0.25">
      <c r="A17" s="17"/>
      <c r="B17" s="18"/>
      <c r="C17" s="19"/>
      <c r="D17" s="11"/>
      <c r="E17" s="11"/>
      <c r="F17" s="12"/>
      <c r="G17" s="13">
        <f>IF(C17="","",C17*E17)</f>
      </c>
      <c r="H17" s="13">
        <f>IF(C17="","",C17*D17)</f>
      </c>
      <c r="I17" s="13">
        <f>IF(C17="","",G17*F17)</f>
      </c>
      <c r="J17" s="20">
        <f>IF(C17="","",G17-H17-I17)</f>
      </c>
    </row>
    <row r="18" spans="1:10" x14ac:dyDescent="0.25">
      <c r="A18" s="17"/>
      <c r="B18" s="18"/>
      <c r="C18" s="19"/>
      <c r="D18" s="11"/>
      <c r="E18" s="11"/>
      <c r="F18" s="12"/>
      <c r="G18" s="13">
        <f>IF(C18="","",C18*E18)</f>
      </c>
      <c r="H18" s="13">
        <f>IF(C18="","",C18*D18)</f>
      </c>
      <c r="I18" s="13">
        <f>IF(C18="","",G18*F18)</f>
      </c>
      <c r="J18" s="20">
        <f>IF(C18="","",G18-H18-I18)</f>
      </c>
    </row>
    <row r="19" spans="1:10" x14ac:dyDescent="0.25">
      <c r="A19" s="17"/>
      <c r="B19" s="18"/>
      <c r="C19" s="19"/>
      <c r="D19" s="11"/>
      <c r="E19" s="11"/>
      <c r="F19" s="12"/>
      <c r="G19" s="13">
        <f>IF(C19="","",C19*E19)</f>
      </c>
      <c r="H19" s="13">
        <f>IF(C19="","",C19*D19)</f>
      </c>
      <c r="I19" s="13">
        <f>IF(C19="","",G19*F19)</f>
      </c>
      <c r="J19" s="20">
        <f>IF(C19="","",G19-H19-I19)</f>
      </c>
    </row>
    <row r="20" spans="1:10" x14ac:dyDescent="0.25">
      <c r="A20" s="17"/>
      <c r="B20" s="18"/>
      <c r="C20" s="19"/>
      <c r="D20" s="11"/>
      <c r="E20" s="11"/>
      <c r="F20" s="12"/>
      <c r="G20" s="13">
        <f>IF(C20="","",C20*E20)</f>
      </c>
      <c r="H20" s="13">
        <f>IF(C20="","",C20*D20)</f>
      </c>
      <c r="I20" s="13">
        <f>IF(C20="","",G20*F20)</f>
      </c>
      <c r="J20" s="20">
        <f>IF(C20="","",G20-H20-I20)</f>
      </c>
    </row>
    <row r="21" spans="1:10" x14ac:dyDescent="0.25">
      <c r="A21" s="17"/>
      <c r="B21" s="18"/>
      <c r="C21" s="19"/>
      <c r="D21" s="11"/>
      <c r="E21" s="11"/>
      <c r="F21" s="12"/>
      <c r="G21" s="13">
        <f>IF(C21="","",C21*E21)</f>
      </c>
      <c r="H21" s="13">
        <f>IF(C21="","",C21*D21)</f>
      </c>
      <c r="I21" s="13">
        <f>IF(C21="","",G21*F21)</f>
      </c>
      <c r="J21" s="20">
        <f>IF(C21="","",G21-H21-I21)</f>
      </c>
    </row>
    <row r="22" spans="1:10" x14ac:dyDescent="0.25">
      <c r="A22" s="17"/>
      <c r="B22" s="18"/>
      <c r="C22" s="19"/>
      <c r="D22" s="11"/>
      <c r="E22" s="11"/>
      <c r="F22" s="12"/>
      <c r="G22" s="13">
        <f>IF(C22="","",C22*E22)</f>
      </c>
      <c r="H22" s="13">
        <f>IF(C22="","",C22*D22)</f>
      </c>
      <c r="I22" s="13">
        <f>IF(C22="","",G22*F22)</f>
      </c>
      <c r="J22" s="20">
        <f>IF(C22="","",G22-H22-I22)</f>
      </c>
    </row>
    <row r="23" spans="1:10" x14ac:dyDescent="0.25">
      <c r="A23" s="17"/>
      <c r="B23" s="18"/>
      <c r="C23" s="19"/>
      <c r="D23" s="11"/>
      <c r="E23" s="11"/>
      <c r="F23" s="12"/>
      <c r="G23" s="13">
        <f>IF(C23="","",C23*E23)</f>
      </c>
      <c r="H23" s="13">
        <f>IF(C23="","",C23*D23)</f>
      </c>
      <c r="I23" s="13">
        <f>IF(C23="","",G23*F23)</f>
      </c>
      <c r="J23" s="20">
        <f>IF(C23="","",G23-H23-I23)</f>
      </c>
    </row>
    <row r="24" spans="1:10" x14ac:dyDescent="0.25">
      <c r="A24" s="17"/>
      <c r="B24" s="18"/>
      <c r="C24" s="19"/>
      <c r="D24" s="11"/>
      <c r="E24" s="11"/>
      <c r="F24" s="12"/>
      <c r="G24" s="13">
        <f>IF(C24="","",C24*E24)</f>
      </c>
      <c r="H24" s="13">
        <f>IF(C24="","",C24*D24)</f>
      </c>
      <c r="I24" s="13">
        <f>IF(C24="","",G24*F24)</f>
      </c>
      <c r="J24" s="20">
        <f>IF(C24="","",G24-H24-I24)</f>
      </c>
    </row>
    <row r="25" spans="1:10" x14ac:dyDescent="0.25">
      <c r="A25" s="17"/>
      <c r="B25" s="18"/>
      <c r="C25" s="19"/>
      <c r="D25" s="11"/>
      <c r="E25" s="11"/>
      <c r="F25" s="12"/>
      <c r="G25" s="13">
        <f>IF(C25="","",C25*E25)</f>
      </c>
      <c r="H25" s="13">
        <f>IF(C25="","",C25*D25)</f>
      </c>
      <c r="I25" s="13">
        <f>IF(C25="","",G25*F25)</f>
      </c>
      <c r="J25" s="20">
        <f>IF(C25="","",G25-H25-I25)</f>
      </c>
    </row>
    <row r="26" spans="1:10" x14ac:dyDescent="0.25">
      <c r="A26" s="17"/>
      <c r="B26" s="18"/>
      <c r="C26" s="19"/>
      <c r="D26" s="11"/>
      <c r="E26" s="11"/>
      <c r="F26" s="12"/>
      <c r="G26" s="13">
        <f>IF(C26="","",C26*E26)</f>
      </c>
      <c r="H26" s="13">
        <f>IF(C26="","",C26*D26)</f>
      </c>
      <c r="I26" s="13">
        <f>IF(C26="","",G26*F26)</f>
      </c>
      <c r="J26" s="20">
        <f>IF(C26="","",G26-H26-I26)</f>
      </c>
    </row>
    <row r="27" spans="1:10" x14ac:dyDescent="0.25">
      <c r="A27" s="17"/>
      <c r="B27" s="18"/>
      <c r="C27" s="19"/>
      <c r="D27" s="11"/>
      <c r="E27" s="11"/>
      <c r="F27" s="12"/>
      <c r="G27" s="13">
        <f>IF(C27="","",C27*E27)</f>
      </c>
      <c r="H27" s="13">
        <f>IF(C27="","",C27*D27)</f>
      </c>
      <c r="I27" s="13">
        <f>IF(C27="","",G27*F27)</f>
      </c>
      <c r="J27" s="20">
        <f>IF(C27="","",G27-H27-I27)</f>
      </c>
    </row>
    <row r="28" spans="1:10" x14ac:dyDescent="0.25">
      <c r="A28" s="17"/>
      <c r="B28" s="18"/>
      <c r="C28" s="19"/>
      <c r="D28" s="11"/>
      <c r="E28" s="11"/>
      <c r="F28" s="12"/>
      <c r="G28" s="13">
        <f>IF(C28="","",C28*E28)</f>
      </c>
      <c r="H28" s="13">
        <f>IF(C28="","",C28*D28)</f>
      </c>
      <c r="I28" s="13">
        <f>IF(C28="","",G28*F28)</f>
      </c>
      <c r="J28" s="20">
        <f>IF(C28="","",G28-H28-I28)</f>
      </c>
    </row>
    <row r="29" spans="1:10" x14ac:dyDescent="0.25">
      <c r="A29" s="17"/>
      <c r="B29" s="18"/>
      <c r="C29" s="19"/>
      <c r="D29" s="11"/>
      <c r="E29" s="11"/>
      <c r="F29" s="12"/>
      <c r="G29" s="13">
        <f>IF(C29="","",C29*E29)</f>
      </c>
      <c r="H29" s="13">
        <f>IF(C29="","",C29*D29)</f>
      </c>
      <c r="I29" s="13">
        <f>IF(C29="","",G29*F29)</f>
      </c>
      <c r="J29" s="20">
        <f>IF(C29="","",G29-H29-I29)</f>
      </c>
    </row>
    <row r="30" spans="1:10" x14ac:dyDescent="0.25">
      <c r="A30" s="17"/>
      <c r="B30" s="18"/>
      <c r="C30" s="19"/>
      <c r="D30" s="11"/>
      <c r="E30" s="11"/>
      <c r="F30" s="12"/>
      <c r="G30" s="13">
        <f>IF(C30="","",C30*E30)</f>
      </c>
      <c r="H30" s="13">
        <f>IF(C30="","",C30*D30)</f>
      </c>
      <c r="I30" s="13">
        <f>IF(C30="","",G30*F30)</f>
      </c>
      <c r="J30" s="20">
        <f>IF(C30="","",G30-H30-I30)</f>
      </c>
    </row>
    <row r="31" spans="1:10" x14ac:dyDescent="0.25">
      <c r="A31" s="17"/>
      <c r="B31" s="18"/>
      <c r="C31" s="19"/>
      <c r="D31" s="11"/>
      <c r="E31" s="11"/>
      <c r="F31" s="12"/>
      <c r="G31" s="13">
        <f>IF(C31="","",C31*E31)</f>
      </c>
      <c r="H31" s="13">
        <f>IF(C31="","",C31*D31)</f>
      </c>
      <c r="I31" s="13">
        <f>IF(C31="","",G31*F31)</f>
      </c>
      <c r="J31" s="20">
        <f>IF(C31="","",G31-H31-I31)</f>
      </c>
    </row>
    <row r="32" spans="1:10" x14ac:dyDescent="0.25">
      <c r="A32" s="17"/>
      <c r="B32" s="18"/>
      <c r="C32" s="19"/>
      <c r="D32" s="11"/>
      <c r="E32" s="11"/>
      <c r="F32" s="12"/>
      <c r="G32" s="13">
        <f>IF(C32="","",C32*E32)</f>
      </c>
      <c r="H32" s="13">
        <f>IF(C32="","",C32*D32)</f>
      </c>
      <c r="I32" s="13">
        <f>IF(C32="","",G32*F32)</f>
      </c>
      <c r="J32" s="20">
        <f>IF(C32="","",G32-H32-I32)</f>
      </c>
    </row>
    <row r="33" spans="1:10" x14ac:dyDescent="0.25">
      <c r="A33" s="17"/>
      <c r="B33" s="18"/>
      <c r="C33" s="19"/>
      <c r="D33" s="11"/>
      <c r="E33" s="11"/>
      <c r="F33" s="12"/>
      <c r="G33" s="13">
        <f>IF(C33="","",C33*E33)</f>
      </c>
      <c r="H33" s="13">
        <f>IF(C33="","",C33*D33)</f>
      </c>
      <c r="I33" s="13">
        <f>IF(C33="","",G33*F33)</f>
      </c>
      <c r="J33" s="20">
        <f>IF(C33="","",G33-H33-I33)</f>
      </c>
    </row>
    <row r="34" spans="1:10" x14ac:dyDescent="0.25">
      <c r="A34" s="17"/>
      <c r="B34" s="18"/>
      <c r="C34" s="19"/>
      <c r="D34" s="11"/>
      <c r="E34" s="11"/>
      <c r="F34" s="12"/>
      <c r="G34" s="13">
        <f>IF(C34="","",C34*E34)</f>
      </c>
      <c r="H34" s="13">
        <f>IF(C34="","",C34*D34)</f>
      </c>
      <c r="I34" s="13">
        <f>IF(C34="","",G34*F34)</f>
      </c>
      <c r="J34" s="20">
        <f>IF(C34="","",G34-H34-I34)</f>
      </c>
    </row>
    <row r="35" spans="1:10" x14ac:dyDescent="0.25">
      <c r="A35" s="17"/>
      <c r="B35" s="18"/>
      <c r="C35" s="19"/>
      <c r="D35" s="11"/>
      <c r="E35" s="11"/>
      <c r="F35" s="12"/>
      <c r="G35" s="13">
        <f>IF(C35="","",C35*E35)</f>
      </c>
      <c r="H35" s="13">
        <f>IF(C35="","",C35*D35)</f>
      </c>
      <c r="I35" s="13">
        <f>IF(C35="","",G35*F35)</f>
      </c>
      <c r="J35" s="20">
        <f>IF(C35="","",G35-H35-I35)</f>
      </c>
    </row>
    <row r="36" spans="1:10" x14ac:dyDescent="0.25">
      <c r="A36" s="17"/>
      <c r="B36" s="18"/>
      <c r="C36" s="19"/>
      <c r="D36" s="11"/>
      <c r="E36" s="11"/>
      <c r="F36" s="12"/>
      <c r="G36" s="13">
        <f>IF(C36="","",C36*E36)</f>
      </c>
      <c r="H36" s="13">
        <f>IF(C36="","",C36*D36)</f>
      </c>
      <c r="I36" s="13">
        <f>IF(C36="","",G36*F36)</f>
      </c>
      <c r="J36" s="20">
        <f>IF(C36="","",G36-H36-I36)</f>
      </c>
    </row>
    <row r="37" spans="1:10" x14ac:dyDescent="0.25">
      <c r="A37" s="17"/>
      <c r="B37" s="18"/>
      <c r="C37" s="19"/>
      <c r="D37" s="11"/>
      <c r="E37" s="11"/>
      <c r="F37" s="12"/>
      <c r="G37" s="13">
        <f>IF(C37="","",C37*E37)</f>
      </c>
      <c r="H37" s="13">
        <f>IF(C37="","",C37*D37)</f>
      </c>
      <c r="I37" s="13">
        <f>IF(C37="","",G37*F37)</f>
      </c>
      <c r="J37" s="20">
        <f>IF(C37="","",G37-H37-I37)</f>
      </c>
    </row>
    <row r="38" spans="1:10" x14ac:dyDescent="0.25">
      <c r="A38" s="17"/>
      <c r="B38" s="18"/>
      <c r="C38" s="19"/>
      <c r="D38" s="11"/>
      <c r="E38" s="11"/>
      <c r="F38" s="12"/>
      <c r="G38" s="13">
        <f>IF(C38="","",C38*E38)</f>
      </c>
      <c r="H38" s="13">
        <f>IF(C38="","",C38*D38)</f>
      </c>
      <c r="I38" s="13">
        <f>IF(C38="","",G38*F38)</f>
      </c>
      <c r="J38" s="20">
        <f>IF(C38="","",G38-H38-I38)</f>
      </c>
    </row>
    <row r="39" spans="1:10" x14ac:dyDescent="0.25">
      <c r="A39" s="17"/>
      <c r="B39" s="18"/>
      <c r="C39" s="19"/>
      <c r="D39" s="11"/>
      <c r="E39" s="11"/>
      <c r="F39" s="12"/>
      <c r="G39" s="13">
        <f>IF(C39="","",C39*E39)</f>
      </c>
      <c r="H39" s="13">
        <f>IF(C39="","",C39*D39)</f>
      </c>
      <c r="I39" s="13">
        <f>IF(C39="","",G39*F39)</f>
      </c>
      <c r="J39" s="20">
        <f>IF(C39="","",G39-H39-I39)</f>
      </c>
    </row>
    <row r="40" spans="1:10" x14ac:dyDescent="0.25">
      <c r="A40" s="17"/>
      <c r="B40" s="18"/>
      <c r="C40" s="19"/>
      <c r="D40" s="11"/>
      <c r="E40" s="11"/>
      <c r="F40" s="12"/>
      <c r="G40" s="13">
        <f>IF(C40="","",C40*E40)</f>
      </c>
      <c r="H40" s="13">
        <f>IF(C40="","",C40*D40)</f>
      </c>
      <c r="I40" s="13">
        <f>IF(C40="","",G40*F40)</f>
      </c>
      <c r="J40" s="20">
        <f>IF(C40="","",G40-H40-I40)</f>
      </c>
    </row>
    <row r="41" spans="1:10" x14ac:dyDescent="0.25">
      <c r="A41" s="17"/>
      <c r="B41" s="18"/>
      <c r="C41" s="19"/>
      <c r="D41" s="11"/>
      <c r="E41" s="11"/>
      <c r="F41" s="12"/>
      <c r="G41" s="13">
        <f>IF(C41="","",C41*E41)</f>
      </c>
      <c r="H41" s="13">
        <f>IF(C41="","",C41*D41)</f>
      </c>
      <c r="I41" s="13">
        <f>IF(C41="","",G41*F41)</f>
      </c>
      <c r="J41" s="20">
        <f>IF(C41="","",G41-H41-I41)</f>
      </c>
    </row>
    <row r="42" spans="1:10" x14ac:dyDescent="0.25">
      <c r="A42" s="17"/>
      <c r="B42" s="18"/>
      <c r="C42" s="19"/>
      <c r="D42" s="11"/>
      <c r="E42" s="11"/>
      <c r="F42" s="12"/>
      <c r="G42" s="13">
        <f>IF(C42="","",C42*E42)</f>
      </c>
      <c r="H42" s="13">
        <f>IF(C42="","",C42*D42)</f>
      </c>
      <c r="I42" s="13">
        <f>IF(C42="","",G42*F42)</f>
      </c>
      <c r="J42" s="20">
        <f>IF(C42="","",G42-H42-I42)</f>
      </c>
    </row>
    <row r="43" spans="1:10" x14ac:dyDescent="0.25">
      <c r="A43" s="17"/>
      <c r="B43" s="18"/>
      <c r="C43" s="19"/>
      <c r="D43" s="11"/>
      <c r="E43" s="11"/>
      <c r="F43" s="12"/>
      <c r="G43" s="13">
        <f>IF(C43="","",C43*E43)</f>
      </c>
      <c r="H43" s="13">
        <f>IF(C43="","",C43*D43)</f>
      </c>
      <c r="I43" s="13">
        <f>IF(C43="","",G43*F43)</f>
      </c>
      <c r="J43" s="20">
        <f>IF(C43="","",G43-H43-I43)</f>
      </c>
    </row>
    <row r="44" spans="1:10" x14ac:dyDescent="0.25">
      <c r="A44" s="17"/>
      <c r="B44" s="18"/>
      <c r="C44" s="19"/>
      <c r="D44" s="11"/>
      <c r="E44" s="11"/>
      <c r="F44" s="12"/>
      <c r="G44" s="13">
        <f>IF(C44="","",C44*E44)</f>
      </c>
      <c r="H44" s="13">
        <f>IF(C44="","",C44*D44)</f>
      </c>
      <c r="I44" s="13">
        <f>IF(C44="","",G44*F44)</f>
      </c>
      <c r="J44" s="20">
        <f>IF(C44="","",G44-H44-I44)</f>
      </c>
    </row>
    <row r="45" spans="1:10" x14ac:dyDescent="0.25">
      <c r="A45" s="17"/>
      <c r="B45" s="18"/>
      <c r="C45" s="19"/>
      <c r="D45" s="11"/>
      <c r="E45" s="11"/>
      <c r="F45" s="12"/>
      <c r="G45" s="13">
        <f>IF(C45="","",C45*E45)</f>
      </c>
      <c r="H45" s="13">
        <f>IF(C45="","",C45*D45)</f>
      </c>
      <c r="I45" s="13">
        <f>IF(C45="","",G45*F45)</f>
      </c>
      <c r="J45" s="20">
        <f>IF(C45="","",G45-H45-I45)</f>
      </c>
    </row>
    <row r="46" spans="1:10" x14ac:dyDescent="0.25">
      <c r="A46" s="17"/>
      <c r="B46" s="18"/>
      <c r="C46" s="19"/>
      <c r="D46" s="11"/>
      <c r="E46" s="11"/>
      <c r="F46" s="12"/>
      <c r="G46" s="13">
        <f>IF(C46="","",C46*E46)</f>
      </c>
      <c r="H46" s="13">
        <f>IF(C46="","",C46*D46)</f>
      </c>
      <c r="I46" s="13">
        <f>IF(C46="","",G46*F46)</f>
      </c>
      <c r="J46" s="20">
        <f>IF(C46="","",G46-H46-I46)</f>
      </c>
    </row>
    <row r="47" spans="1:10" x14ac:dyDescent="0.25">
      <c r="A47" s="17"/>
      <c r="B47" s="18"/>
      <c r="C47" s="19"/>
      <c r="D47" s="11"/>
      <c r="E47" s="11"/>
      <c r="F47" s="12"/>
      <c r="G47" s="13">
        <f>IF(C47="","",C47*E47)</f>
      </c>
      <c r="H47" s="13">
        <f>IF(C47="","",C47*D47)</f>
      </c>
      <c r="I47" s="13">
        <f>IF(C47="","",G47*F47)</f>
      </c>
      <c r="J47" s="20">
        <f>IF(C47="","",G47-H47-I47)</f>
      </c>
    </row>
    <row r="48" spans="1:10" x14ac:dyDescent="0.25">
      <c r="A48" s="17"/>
      <c r="B48" s="18"/>
      <c r="C48" s="19"/>
      <c r="D48" s="11"/>
      <c r="E48" s="11"/>
      <c r="F48" s="12"/>
      <c r="G48" s="13">
        <f>IF(C48="","",C48*E48)</f>
      </c>
      <c r="H48" s="13">
        <f>IF(C48="","",C48*D48)</f>
      </c>
      <c r="I48" s="13">
        <f>IF(C48="","",G48*F48)</f>
      </c>
      <c r="J48" s="20">
        <f>IF(C48="","",G48-H48-I48)</f>
      </c>
    </row>
    <row r="49" spans="1:10" x14ac:dyDescent="0.25">
      <c r="A49" s="17"/>
      <c r="B49" s="18"/>
      <c r="C49" s="19"/>
      <c r="D49" s="11"/>
      <c r="E49" s="11"/>
      <c r="F49" s="12"/>
      <c r="G49" s="13">
        <f>IF(C49="","",C49*E49)</f>
      </c>
      <c r="H49" s="13">
        <f>IF(C49="","",C49*D49)</f>
      </c>
      <c r="I49" s="13">
        <f>IF(C49="","",G49*F49)</f>
      </c>
      <c r="J49" s="20">
        <f>IF(C49="","",G49-H49-I49)</f>
      </c>
    </row>
    <row r="50" spans="1:10" x14ac:dyDescent="0.25">
      <c r="A50" s="17"/>
      <c r="B50" s="18"/>
      <c r="C50" s="19"/>
      <c r="D50" s="11"/>
      <c r="E50" s="11"/>
      <c r="F50" s="12"/>
      <c r="G50" s="13">
        <f>IF(C50="","",C50*E50)</f>
      </c>
      <c r="H50" s="13">
        <f>IF(C50="","",C50*D50)</f>
      </c>
      <c r="I50" s="13">
        <f>IF(C50="","",G50*F50)</f>
      </c>
      <c r="J50" s="20">
        <f>IF(C50="","",G50-H50-I50)</f>
      </c>
    </row>
    <row r="51" spans="1:10" x14ac:dyDescent="0.25">
      <c r="A51" s="17"/>
      <c r="B51" s="18"/>
      <c r="C51" s="19"/>
      <c r="D51" s="11"/>
      <c r="E51" s="11"/>
      <c r="F51" s="12"/>
      <c r="G51" s="13">
        <f>IF(C51="","",C51*E51)</f>
      </c>
      <c r="H51" s="13">
        <f>IF(C51="","",C51*D51)</f>
      </c>
      <c r="I51" s="13">
        <f>IF(C51="","",G51*F51)</f>
      </c>
      <c r="J51" s="20">
        <f>IF(C51="","",G51-H51-I51)</f>
      </c>
    </row>
    <row r="52" spans="1:10" x14ac:dyDescent="0.25">
      <c r="A52" s="17"/>
      <c r="B52" s="18"/>
      <c r="C52" s="19"/>
      <c r="D52" s="11"/>
      <c r="E52" s="11"/>
      <c r="F52" s="12"/>
      <c r="G52" s="13">
        <f>IF(C52="","",C52*E52)</f>
      </c>
      <c r="H52" s="13">
        <f>IF(C52="","",C52*D52)</f>
      </c>
      <c r="I52" s="13">
        <f>IF(C52="","",G52*F52)</f>
      </c>
      <c r="J52" s="20">
        <f>IF(C52="","",G52-H52-I52)</f>
      </c>
    </row>
    <row r="53" spans="1:10" x14ac:dyDescent="0.25">
      <c r="A53" s="17"/>
      <c r="B53" s="18"/>
      <c r="C53" s="19"/>
      <c r="D53" s="11"/>
      <c r="E53" s="11"/>
      <c r="F53" s="12"/>
      <c r="G53" s="13">
        <f>IF(C53="","",C53*E53)</f>
      </c>
      <c r="H53" s="13">
        <f>IF(C53="","",C53*D53)</f>
      </c>
      <c r="I53" s="13">
        <f>IF(C53="","",G53*F53)</f>
      </c>
      <c r="J53" s="20">
        <f>IF(C53="","",G53-H53-I53)</f>
      </c>
    </row>
    <row r="54" spans="1:10" x14ac:dyDescent="0.25">
      <c r="A54" s="17"/>
      <c r="B54" s="18"/>
      <c r="C54" s="19"/>
      <c r="D54" s="11"/>
      <c r="E54" s="11"/>
      <c r="F54" s="12"/>
      <c r="G54" s="13">
        <f>IF(C54="","",C54*E54)</f>
      </c>
      <c r="H54" s="13">
        <f>IF(C54="","",C54*D54)</f>
      </c>
      <c r="I54" s="13">
        <f>IF(C54="","",G54*F54)</f>
      </c>
      <c r="J54" s="20">
        <f>IF(C54="","",G54-H54-I54)</f>
      </c>
    </row>
    <row r="55" spans="1:10" x14ac:dyDescent="0.25">
      <c r="A55" s="17"/>
      <c r="B55" s="18"/>
      <c r="C55" s="19"/>
      <c r="D55" s="11"/>
      <c r="E55" s="11"/>
      <c r="F55" s="12"/>
      <c r="G55" s="13">
        <f>IF(C55="","",C55*E55)</f>
      </c>
      <c r="H55" s="13">
        <f>IF(C55="","",C55*D55)</f>
      </c>
      <c r="I55" s="13">
        <f>IF(C55="","",G55*F55)</f>
      </c>
      <c r="J55" s="20">
        <f>IF(C55="","",G55-H55-I55)</f>
      </c>
    </row>
    <row r="56" spans="1:10" x14ac:dyDescent="0.25">
      <c r="A56" s="17"/>
      <c r="B56" s="18"/>
      <c r="C56" s="19"/>
      <c r="D56" s="11"/>
      <c r="E56" s="11"/>
      <c r="F56" s="12"/>
      <c r="G56" s="13">
        <f>IF(C56="","",C56*E56)</f>
      </c>
      <c r="H56" s="13">
        <f>IF(C56="","",C56*D56)</f>
      </c>
      <c r="I56" s="13">
        <f>IF(C56="","",G56*F56)</f>
      </c>
      <c r="J56" s="20">
        <f>IF(C56="","",G56-H56-I56)</f>
      </c>
    </row>
    <row r="57" spans="1:10" x14ac:dyDescent="0.25">
      <c r="A57" s="17"/>
      <c r="B57" s="18"/>
      <c r="C57" s="19"/>
      <c r="D57" s="11"/>
      <c r="E57" s="11"/>
      <c r="F57" s="12"/>
      <c r="G57" s="13">
        <f>IF(C57="","",C57*E57)</f>
      </c>
      <c r="H57" s="13">
        <f>IF(C57="","",C57*D57)</f>
      </c>
      <c r="I57" s="13">
        <f>IF(C57="","",G57*F57)</f>
      </c>
      <c r="J57" s="20">
        <f>IF(C57="","",G57-H57-I57)</f>
      </c>
    </row>
    <row r="58" spans="1:10" x14ac:dyDescent="0.25">
      <c r="A58" s="17"/>
      <c r="B58" s="18"/>
      <c r="C58" s="19"/>
      <c r="D58" s="11"/>
      <c r="E58" s="11"/>
      <c r="F58" s="12"/>
      <c r="G58" s="13">
        <f>IF(C58="","",C58*E58)</f>
      </c>
      <c r="H58" s="13">
        <f>IF(C58="","",C58*D58)</f>
      </c>
      <c r="I58" s="13">
        <f>IF(C58="","",G58*F58)</f>
      </c>
      <c r="J58" s="20">
        <f>IF(C58="","",G58-H58-I58)</f>
      </c>
    </row>
    <row r="59" spans="1:10" x14ac:dyDescent="0.25">
      <c r="A59" s="17"/>
      <c r="B59" s="18"/>
      <c r="C59" s="19"/>
      <c r="D59" s="11"/>
      <c r="E59" s="11"/>
      <c r="F59" s="12"/>
      <c r="G59" s="13">
        <f>IF(C59="","",C59*E59)</f>
      </c>
      <c r="H59" s="13">
        <f>IF(C59="","",C59*D59)</f>
      </c>
      <c r="I59" s="13">
        <f>IF(C59="","",G59*F59)</f>
      </c>
      <c r="J59" s="20">
        <f>IF(C59="","",G59-H59-I59)</f>
      </c>
    </row>
    <row r="60" spans="1:10" x14ac:dyDescent="0.25">
      <c r="A60" s="17"/>
      <c r="B60" s="18"/>
      <c r="C60" s="19"/>
      <c r="D60" s="11"/>
      <c r="E60" s="11"/>
      <c r="F60" s="12"/>
      <c r="G60" s="13">
        <f>IF(C60="","",C60*E60)</f>
      </c>
      <c r="H60" s="13">
        <f>IF(C60="","",C60*D60)</f>
      </c>
      <c r="I60" s="13">
        <f>IF(C60="","",G60*F60)</f>
      </c>
      <c r="J60" s="20">
        <f>IF(C60="","",G60-H60-I60)</f>
      </c>
    </row>
    <row r="61" spans="1:10" x14ac:dyDescent="0.25">
      <c r="A61" s="17"/>
      <c r="B61" s="18"/>
      <c r="C61" s="19"/>
      <c r="D61" s="11"/>
      <c r="E61" s="11"/>
      <c r="F61" s="12"/>
      <c r="G61" s="13">
        <f>IF(C61="","",C61*E61)</f>
      </c>
      <c r="H61" s="13">
        <f>IF(C61="","",C61*D61)</f>
      </c>
      <c r="I61" s="13">
        <f>IF(C61="","",G61*F61)</f>
      </c>
      <c r="J61" s="20">
        <f>IF(C61="","",G61-H61-I61)</f>
      </c>
    </row>
    <row r="62" spans="1:10" x14ac:dyDescent="0.25">
      <c r="A62" s="17"/>
      <c r="B62" s="18"/>
      <c r="C62" s="19"/>
      <c r="D62" s="11"/>
      <c r="E62" s="11"/>
      <c r="F62" s="12"/>
      <c r="G62" s="13">
        <f>IF(C62="","",C62*E62)</f>
      </c>
      <c r="H62" s="13">
        <f>IF(C62="","",C62*D62)</f>
      </c>
      <c r="I62" s="13">
        <f>IF(C62="","",G62*F62)</f>
      </c>
      <c r="J62" s="20">
        <f>IF(C62="","",G62-H62-I62)</f>
      </c>
    </row>
    <row r="63" spans="1:10" x14ac:dyDescent="0.25">
      <c r="A63" s="17"/>
      <c r="B63" s="18"/>
      <c r="C63" s="19"/>
      <c r="D63" s="11"/>
      <c r="E63" s="11"/>
      <c r="F63" s="12"/>
      <c r="G63" s="13">
        <f>IF(C63="","",C63*E63)</f>
      </c>
      <c r="H63" s="13">
        <f>IF(C63="","",C63*D63)</f>
      </c>
      <c r="I63" s="13">
        <f>IF(C63="","",G63*F63)</f>
      </c>
      <c r="J63" s="20">
        <f>IF(C63="","",G63-H63-I63)</f>
      </c>
    </row>
    <row r="64" spans="1:10" x14ac:dyDescent="0.25">
      <c r="A64" s="17"/>
      <c r="B64" s="18"/>
      <c r="C64" s="19"/>
      <c r="D64" s="11"/>
      <c r="E64" s="11"/>
      <c r="F64" s="12"/>
      <c r="G64" s="13">
        <f>IF(C64="","",C64*E64)</f>
      </c>
      <c r="H64" s="13">
        <f>IF(C64="","",C64*D64)</f>
      </c>
      <c r="I64" s="13">
        <f>IF(C64="","",G64*F64)</f>
      </c>
      <c r="J64" s="20">
        <f>IF(C64="","",G64-H64-I64)</f>
      </c>
    </row>
    <row r="65" spans="1:10" x14ac:dyDescent="0.25">
      <c r="A65" s="17"/>
      <c r="B65" s="18"/>
      <c r="C65" s="19"/>
      <c r="D65" s="11"/>
      <c r="E65" s="11"/>
      <c r="F65" s="12"/>
      <c r="G65" s="13">
        <f>IF(C65="","",C65*E65)</f>
      </c>
      <c r="H65" s="13">
        <f>IF(C65="","",C65*D65)</f>
      </c>
      <c r="I65" s="13">
        <f>IF(C65="","",G65*F65)</f>
      </c>
      <c r="J65" s="20">
        <f>IF(C65="","",G65-H65-I65)</f>
      </c>
    </row>
    <row r="66" spans="1:10" x14ac:dyDescent="0.25">
      <c r="A66" s="17"/>
      <c r="B66" s="18"/>
      <c r="C66" s="19"/>
      <c r="D66" s="11"/>
      <c r="E66" s="11"/>
      <c r="F66" s="12"/>
      <c r="G66" s="13">
        <f>IF(C66="","",C66*E66)</f>
      </c>
      <c r="H66" s="13">
        <f>IF(C66="","",C66*D66)</f>
      </c>
      <c r="I66" s="13">
        <f>IF(C66="","",G66*F66)</f>
      </c>
      <c r="J66" s="20">
        <f>IF(C66="","",G66-H66-I66)</f>
      </c>
    </row>
    <row r="67" spans="1:10" x14ac:dyDescent="0.25">
      <c r="A67" s="17"/>
      <c r="B67" s="18"/>
      <c r="C67" s="19"/>
      <c r="D67" s="11"/>
      <c r="E67" s="11"/>
      <c r="F67" s="12"/>
      <c r="G67" s="13">
        <f>IF(C67="","",C67*E67)</f>
      </c>
      <c r="H67" s="13">
        <f>IF(C67="","",C67*D67)</f>
      </c>
      <c r="I67" s="13">
        <f>IF(C67="","",G67*F67)</f>
      </c>
      <c r="J67" s="20">
        <f>IF(C67="","",G67-H67-I67)</f>
      </c>
    </row>
    <row r="68" spans="1:10" x14ac:dyDescent="0.25">
      <c r="A68" s="17"/>
      <c r="B68" s="18"/>
      <c r="C68" s="19"/>
      <c r="D68" s="11"/>
      <c r="E68" s="11"/>
      <c r="F68" s="12"/>
      <c r="G68" s="13">
        <f>IF(C68="","",C68*E68)</f>
      </c>
      <c r="H68" s="13">
        <f>IF(C68="","",C68*D68)</f>
      </c>
      <c r="I68" s="13">
        <f>IF(C68="","",G68*F68)</f>
      </c>
      <c r="J68" s="20">
        <f>IF(C68="","",G68-H68-I68)</f>
      </c>
    </row>
    <row r="69" spans="1:10" x14ac:dyDescent="0.25">
      <c r="A69" s="17"/>
      <c r="B69" s="18"/>
      <c r="C69" s="19"/>
      <c r="D69" s="11"/>
      <c r="E69" s="11"/>
      <c r="F69" s="12"/>
      <c r="G69" s="13">
        <f>IF(C69="","",C69*E69)</f>
      </c>
      <c r="H69" s="13">
        <f>IF(C69="","",C69*D69)</f>
      </c>
      <c r="I69" s="13">
        <f>IF(C69="","",G69*F69)</f>
      </c>
      <c r="J69" s="20">
        <f>IF(C69="","",G69-H69-I69)</f>
      </c>
    </row>
    <row r="70" spans="1:10" x14ac:dyDescent="0.25">
      <c r="A70" s="17"/>
      <c r="B70" s="18"/>
      <c r="C70" s="19"/>
      <c r="D70" s="11"/>
      <c r="E70" s="11"/>
      <c r="F70" s="12"/>
      <c r="G70" s="13">
        <f>IF(C70="","",C70*E70)</f>
      </c>
      <c r="H70" s="13">
        <f>IF(C70="","",C70*D70)</f>
      </c>
      <c r="I70" s="13">
        <f>IF(C70="","",G70*F70)</f>
      </c>
      <c r="J70" s="20">
        <f>IF(C70="","",G70-H70-I70)</f>
      </c>
    </row>
    <row r="71" spans="1:10" x14ac:dyDescent="0.25">
      <c r="A71" s="17"/>
      <c r="B71" s="18"/>
      <c r="C71" s="19"/>
      <c r="D71" s="11"/>
      <c r="E71" s="11"/>
      <c r="F71" s="12"/>
      <c r="G71" s="13">
        <f>IF(C71="","",C71*E71)</f>
      </c>
      <c r="H71" s="13">
        <f>IF(C71="","",C71*D71)</f>
      </c>
      <c r="I71" s="13">
        <f>IF(C71="","",G71*F71)</f>
      </c>
      <c r="J71" s="20">
        <f>IF(C71="","",G71-H71-I71)</f>
      </c>
    </row>
    <row r="72" spans="1:10" x14ac:dyDescent="0.25">
      <c r="A72" s="17"/>
      <c r="B72" s="18"/>
      <c r="C72" s="19"/>
      <c r="D72" s="11"/>
      <c r="E72" s="11"/>
      <c r="F72" s="12"/>
      <c r="G72" s="13">
        <f>IF(C72="","",C72*E72)</f>
      </c>
      <c r="H72" s="13">
        <f>IF(C72="","",C72*D72)</f>
      </c>
      <c r="I72" s="13">
        <f>IF(C72="","",G72*F72)</f>
      </c>
      <c r="J72" s="20">
        <f>IF(C72="","",G72-H72-I72)</f>
      </c>
    </row>
    <row r="73" spans="1:10" x14ac:dyDescent="0.25">
      <c r="A73" s="17"/>
      <c r="B73" s="18"/>
      <c r="C73" s="19"/>
      <c r="D73" s="11"/>
      <c r="E73" s="11"/>
      <c r="F73" s="12"/>
      <c r="G73" s="13">
        <f>IF(C73="","",C73*E73)</f>
      </c>
      <c r="H73" s="13">
        <f>IF(C73="","",C73*D73)</f>
      </c>
      <c r="I73" s="13">
        <f>IF(C73="","",G73*F73)</f>
      </c>
      <c r="J73" s="20">
        <f>IF(C73="","",G73-H73-I73)</f>
      </c>
    </row>
    <row r="74" spans="1:10" x14ac:dyDescent="0.25">
      <c r="A74" s="17"/>
      <c r="B74" s="18"/>
      <c r="C74" s="19"/>
      <c r="D74" s="11"/>
      <c r="E74" s="11"/>
      <c r="F74" s="12"/>
      <c r="G74" s="13">
        <f>IF(C74="","",C74*E74)</f>
      </c>
      <c r="H74" s="13">
        <f>IF(C74="","",C74*D74)</f>
      </c>
      <c r="I74" s="13">
        <f>IF(C74="","",G74*F74)</f>
      </c>
      <c r="J74" s="20">
        <f>IF(C74="","",G74-H74-I74)</f>
      </c>
    </row>
    <row r="75" spans="1:10" x14ac:dyDescent="0.25">
      <c r="A75" s="17"/>
      <c r="B75" s="18"/>
      <c r="C75" s="19"/>
      <c r="D75" s="11"/>
      <c r="E75" s="11"/>
      <c r="F75" s="12"/>
      <c r="G75" s="13">
        <f>IF(C75="","",C75*E75)</f>
      </c>
      <c r="H75" s="13">
        <f>IF(C75="","",C75*D75)</f>
      </c>
      <c r="I75" s="13">
        <f>IF(C75="","",G75*F75)</f>
      </c>
      <c r="J75" s="20">
        <f>IF(C75="","",G75-H75-I75)</f>
      </c>
    </row>
    <row r="76" spans="1:10" x14ac:dyDescent="0.25">
      <c r="A76" s="17"/>
      <c r="B76" s="18"/>
      <c r="C76" s="19"/>
      <c r="D76" s="11"/>
      <c r="E76" s="11"/>
      <c r="F76" s="12"/>
      <c r="G76" s="13">
        <f>IF(C76="","",C76*E76)</f>
      </c>
      <c r="H76" s="13">
        <f>IF(C76="","",C76*D76)</f>
      </c>
      <c r="I76" s="13">
        <f>IF(C76="","",G76*F76)</f>
      </c>
      <c r="J76" s="20">
        <f>IF(C76="","",G76-H76-I76)</f>
      </c>
    </row>
    <row r="77" spans="1:10" x14ac:dyDescent="0.25">
      <c r="A77" s="17"/>
      <c r="B77" s="18"/>
      <c r="C77" s="19"/>
      <c r="D77" s="11"/>
      <c r="E77" s="11"/>
      <c r="F77" s="12"/>
      <c r="G77" s="13">
        <f>IF(C77="","",C77*E77)</f>
      </c>
      <c r="H77" s="13">
        <f>IF(C77="","",C77*D77)</f>
      </c>
      <c r="I77" s="13">
        <f>IF(C77="","",G77*F77)</f>
      </c>
      <c r="J77" s="20">
        <f>IF(C77="","",G77-H77-I77)</f>
      </c>
    </row>
    <row r="78" spans="1:10" x14ac:dyDescent="0.25">
      <c r="A78" s="17"/>
      <c r="B78" s="18"/>
      <c r="C78" s="19"/>
      <c r="D78" s="11"/>
      <c r="E78" s="11"/>
      <c r="F78" s="12"/>
      <c r="G78" s="13">
        <f>IF(C78="","",C78*E78)</f>
      </c>
      <c r="H78" s="13">
        <f>IF(C78="","",C78*D78)</f>
      </c>
      <c r="I78" s="13">
        <f>IF(C78="","",G78*F78)</f>
      </c>
      <c r="J78" s="20">
        <f>IF(C78="","",G78-H78-I78)</f>
      </c>
    </row>
    <row r="79" spans="1:10" x14ac:dyDescent="0.25">
      <c r="A79" s="17"/>
      <c r="B79" s="18"/>
      <c r="C79" s="19"/>
      <c r="D79" s="11"/>
      <c r="E79" s="11"/>
      <c r="F79" s="12"/>
      <c r="G79" s="13">
        <f>IF(C79="","",C79*E79)</f>
      </c>
      <c r="H79" s="13">
        <f>IF(C79="","",C79*D79)</f>
      </c>
      <c r="I79" s="13">
        <f>IF(C79="","",G79*F79)</f>
      </c>
      <c r="J79" s="20">
        <f>IF(C79="","",G79-H79-I79)</f>
      </c>
    </row>
    <row r="80" spans="1:10" x14ac:dyDescent="0.25">
      <c r="A80" s="17"/>
      <c r="B80" s="18"/>
      <c r="C80" s="19"/>
      <c r="D80" s="11"/>
      <c r="E80" s="11"/>
      <c r="F80" s="12"/>
      <c r="G80" s="13">
        <f>IF(C80="","",C80*E80)</f>
      </c>
      <c r="H80" s="13">
        <f>IF(C80="","",C80*D80)</f>
      </c>
      <c r="I80" s="13">
        <f>IF(C80="","",G80*F80)</f>
      </c>
      <c r="J80" s="20">
        <f>IF(C80="","",G80-H80-I80)</f>
      </c>
    </row>
    <row r="81" spans="1:10" x14ac:dyDescent="0.25">
      <c r="A81" s="17"/>
      <c r="B81" s="18"/>
      <c r="C81" s="19"/>
      <c r="D81" s="11"/>
      <c r="E81" s="11"/>
      <c r="F81" s="12"/>
      <c r="G81" s="13">
        <f>IF(C81="","",C81*E81)</f>
      </c>
      <c r="H81" s="13">
        <f>IF(C81="","",C81*D81)</f>
      </c>
      <c r="I81" s="13">
        <f>IF(C81="","",G81*F81)</f>
      </c>
      <c r="J81" s="20">
        <f>IF(C81="","",G81-H81-I81)</f>
      </c>
    </row>
    <row r="82" spans="1:10" x14ac:dyDescent="0.25">
      <c r="A82" s="17"/>
      <c r="B82" s="18"/>
      <c r="C82" s="19"/>
      <c r="D82" s="11"/>
      <c r="E82" s="11"/>
      <c r="F82" s="12"/>
      <c r="G82" s="13">
        <f>IF(C82="","",C82*E82)</f>
      </c>
      <c r="H82" s="13">
        <f>IF(C82="","",C82*D82)</f>
      </c>
      <c r="I82" s="13">
        <f>IF(C82="","",G82*F82)</f>
      </c>
      <c r="J82" s="20">
        <f>IF(C82="","",G82-H82-I82)</f>
      </c>
    </row>
    <row r="83" spans="1:10" x14ac:dyDescent="0.25">
      <c r="A83" s="17"/>
      <c r="B83" s="18"/>
      <c r="C83" s="19"/>
      <c r="D83" s="11"/>
      <c r="E83" s="11"/>
      <c r="F83" s="12"/>
      <c r="G83" s="13">
        <f>IF(C83="","",C83*E83)</f>
      </c>
      <c r="H83" s="13">
        <f>IF(C83="","",C83*D83)</f>
      </c>
      <c r="I83" s="13">
        <f>IF(C83="","",G83*F83)</f>
      </c>
      <c r="J83" s="20">
        <f>IF(C83="","",G83-H83-I83)</f>
      </c>
    </row>
    <row r="84" spans="1:10" x14ac:dyDescent="0.25">
      <c r="A84" s="17"/>
      <c r="B84" s="18"/>
      <c r="C84" s="19"/>
      <c r="D84" s="11"/>
      <c r="E84" s="11"/>
      <c r="F84" s="12"/>
      <c r="G84" s="13">
        <f>IF(C84="","",C84*E84)</f>
      </c>
      <c r="H84" s="13">
        <f>IF(C84="","",C84*D84)</f>
      </c>
      <c r="I84" s="13">
        <f>IF(C84="","",G84*F84)</f>
      </c>
      <c r="J84" s="20">
        <f>IF(C84="","",G84-H84-I84)</f>
      </c>
    </row>
    <row r="85" spans="1:10" x14ac:dyDescent="0.25">
      <c r="A85" s="17"/>
      <c r="B85" s="18"/>
      <c r="C85" s="19"/>
      <c r="D85" s="11"/>
      <c r="E85" s="11"/>
      <c r="F85" s="12"/>
      <c r="G85" s="13">
        <f>IF(C85="","",C85*E85)</f>
      </c>
      <c r="H85" s="13">
        <f>IF(C85="","",C85*D85)</f>
      </c>
      <c r="I85" s="13">
        <f>IF(C85="","",G85*F85)</f>
      </c>
      <c r="J85" s="20">
        <f>IF(C85="","",G85-H85-I85)</f>
      </c>
    </row>
    <row r="86" spans="1:10" x14ac:dyDescent="0.25">
      <c r="A86" s="17"/>
      <c r="B86" s="18"/>
      <c r="C86" s="19"/>
      <c r="D86" s="11"/>
      <c r="E86" s="11"/>
      <c r="F86" s="12"/>
      <c r="G86" s="13">
        <f>IF(C86="","",C86*E86)</f>
      </c>
      <c r="H86" s="13">
        <f>IF(C86="","",C86*D86)</f>
      </c>
      <c r="I86" s="13">
        <f>IF(C86="","",G86*F86)</f>
      </c>
      <c r="J86" s="20">
        <f>IF(C86="","",G86-H86-I86)</f>
      </c>
    </row>
    <row r="87" spans="1:10" x14ac:dyDescent="0.25">
      <c r="A87" s="17"/>
      <c r="B87" s="18"/>
      <c r="C87" s="19"/>
      <c r="D87" s="11"/>
      <c r="E87" s="11"/>
      <c r="F87" s="12"/>
      <c r="G87" s="13">
        <f>IF(C87="","",C87*E87)</f>
      </c>
      <c r="H87" s="13">
        <f>IF(C87="","",C87*D87)</f>
      </c>
      <c r="I87" s="13">
        <f>IF(C87="","",G87*F87)</f>
      </c>
      <c r="J87" s="20">
        <f>IF(C87="","",G87-H87-I87)</f>
      </c>
    </row>
    <row r="88" spans="1:10" x14ac:dyDescent="0.25">
      <c r="A88" s="17"/>
      <c r="B88" s="18"/>
      <c r="C88" s="19"/>
      <c r="D88" s="11"/>
      <c r="E88" s="11"/>
      <c r="F88" s="12"/>
      <c r="G88" s="13">
        <f>IF(C88="","",C88*E88)</f>
      </c>
      <c r="H88" s="13">
        <f>IF(C88="","",C88*D88)</f>
      </c>
      <c r="I88" s="13">
        <f>IF(C88="","",G88*F88)</f>
      </c>
      <c r="J88" s="20">
        <f>IF(C88="","",G88-H88-I88)</f>
      </c>
    </row>
    <row r="89" spans="1:10" x14ac:dyDescent="0.25">
      <c r="A89" s="17"/>
      <c r="B89" s="18"/>
      <c r="C89" s="19"/>
      <c r="D89" s="11"/>
      <c r="E89" s="11"/>
      <c r="F89" s="12"/>
      <c r="G89" s="13">
        <f>IF(C89="","",C89*E89)</f>
      </c>
      <c r="H89" s="13">
        <f>IF(C89="","",C89*D89)</f>
      </c>
      <c r="I89" s="13">
        <f>IF(C89="","",G89*F89)</f>
      </c>
      <c r="J89" s="20">
        <f>IF(C89="","",G89-H89-I89)</f>
      </c>
    </row>
    <row r="90" spans="1:10" x14ac:dyDescent="0.25">
      <c r="A90" s="17"/>
      <c r="B90" s="18"/>
      <c r="C90" s="19"/>
      <c r="D90" s="11"/>
      <c r="E90" s="11"/>
      <c r="F90" s="12"/>
      <c r="G90" s="13">
        <f>IF(C90="","",C90*E90)</f>
      </c>
      <c r="H90" s="13">
        <f>IF(C90="","",C90*D90)</f>
      </c>
      <c r="I90" s="13">
        <f>IF(C90="","",G90*F90)</f>
      </c>
      <c r="J90" s="20">
        <f>IF(C90="","",G90-H90-I90)</f>
      </c>
    </row>
    <row r="91" spans="1:10" x14ac:dyDescent="0.25">
      <c r="A91" s="17"/>
      <c r="B91" s="18"/>
      <c r="C91" s="19"/>
      <c r="D91" s="11"/>
      <c r="E91" s="11"/>
      <c r="F91" s="12"/>
      <c r="G91" s="13">
        <f>IF(C91="","",C91*E91)</f>
      </c>
      <c r="H91" s="13">
        <f>IF(C91="","",C91*D91)</f>
      </c>
      <c r="I91" s="13">
        <f>IF(C91="","",G91*F91)</f>
      </c>
      <c r="J91" s="20">
        <f>IF(C91="","",G91-H91-I91)</f>
      </c>
    </row>
    <row r="92" spans="1:10" x14ac:dyDescent="0.25">
      <c r="A92" s="17"/>
      <c r="B92" s="18"/>
      <c r="C92" s="19"/>
      <c r="D92" s="11"/>
      <c r="E92" s="11"/>
      <c r="F92" s="12"/>
      <c r="G92" s="13">
        <f>IF(C92="","",C92*E92)</f>
      </c>
      <c r="H92" s="13">
        <f>IF(C92="","",C92*D92)</f>
      </c>
      <c r="I92" s="13">
        <f>IF(C92="","",G92*F92)</f>
      </c>
      <c r="J92" s="20">
        <f>IF(C92="","",G92-H92-I92)</f>
      </c>
    </row>
    <row r="93" spans="1:10" x14ac:dyDescent="0.25">
      <c r="A93" s="17"/>
      <c r="B93" s="18"/>
      <c r="C93" s="19"/>
      <c r="D93" s="11"/>
      <c r="E93" s="11"/>
      <c r="F93" s="12"/>
      <c r="G93" s="13">
        <f>IF(C93="","",C93*E93)</f>
      </c>
      <c r="H93" s="13">
        <f>IF(C93="","",C93*D93)</f>
      </c>
      <c r="I93" s="13">
        <f>IF(C93="","",G93*F93)</f>
      </c>
      <c r="J93" s="20">
        <f>IF(C93="","",G93-H93-I93)</f>
      </c>
    </row>
    <row r="94" spans="1:10" x14ac:dyDescent="0.25">
      <c r="A94" s="17"/>
      <c r="B94" s="18"/>
      <c r="C94" s="19"/>
      <c r="D94" s="11"/>
      <c r="E94" s="11"/>
      <c r="F94" s="12"/>
      <c r="G94" s="13">
        <f>IF(C94="","",C94*E94)</f>
      </c>
      <c r="H94" s="13">
        <f>IF(C94="","",C94*D94)</f>
      </c>
      <c r="I94" s="13">
        <f>IF(C94="","",G94*F94)</f>
      </c>
      <c r="J94" s="20">
        <f>IF(C94="","",G94-H94-I94)</f>
      </c>
    </row>
    <row r="95" spans="1:10" x14ac:dyDescent="0.25">
      <c r="A95" s="17"/>
      <c r="B95" s="18"/>
      <c r="C95" s="19"/>
      <c r="D95" s="11"/>
      <c r="E95" s="11"/>
      <c r="F95" s="12"/>
      <c r="G95" s="13">
        <f>IF(C95="","",C95*E95)</f>
      </c>
      <c r="H95" s="13">
        <f>IF(C95="","",C95*D95)</f>
      </c>
      <c r="I95" s="13">
        <f>IF(C95="","",G95*F95)</f>
      </c>
      <c r="J95" s="20">
        <f>IF(C95="","",G95-H95-I95)</f>
      </c>
    </row>
    <row r="96" spans="1:10" x14ac:dyDescent="0.25">
      <c r="A96" s="17"/>
      <c r="B96" s="18"/>
      <c r="C96" s="19"/>
      <c r="D96" s="11"/>
      <c r="E96" s="11"/>
      <c r="F96" s="12"/>
      <c r="G96" s="13">
        <f>IF(C96="","",C96*E96)</f>
      </c>
      <c r="H96" s="13">
        <f>IF(C96="","",C96*D96)</f>
      </c>
      <c r="I96" s="13">
        <f>IF(C96="","",G96*F96)</f>
      </c>
      <c r="J96" s="20">
        <f>IF(C96="","",G96-H96-I96)</f>
      </c>
    </row>
    <row r="97" spans="1:10" x14ac:dyDescent="0.25">
      <c r="A97" s="17"/>
      <c r="B97" s="18"/>
      <c r="C97" s="19"/>
      <c r="D97" s="11"/>
      <c r="E97" s="11"/>
      <c r="F97" s="12"/>
      <c r="G97" s="13">
        <f>IF(C97="","",C97*E97)</f>
      </c>
      <c r="H97" s="13">
        <f>IF(C97="","",C97*D97)</f>
      </c>
      <c r="I97" s="13">
        <f>IF(C97="","",G97*F97)</f>
      </c>
      <c r="J97" s="20">
        <f>IF(C97="","",G97-H97-I97)</f>
      </c>
    </row>
    <row r="98" spans="1:10" x14ac:dyDescent="0.25">
      <c r="A98" s="17"/>
      <c r="B98" s="18"/>
      <c r="C98" s="19"/>
      <c r="D98" s="11"/>
      <c r="E98" s="11"/>
      <c r="F98" s="12"/>
      <c r="G98" s="13">
        <f>IF(C98="","",C98*E98)</f>
      </c>
      <c r="H98" s="13">
        <f>IF(C98="","",C98*D98)</f>
      </c>
      <c r="I98" s="13">
        <f>IF(C98="","",G98*F98)</f>
      </c>
      <c r="J98" s="20">
        <f>IF(C98="","",G98-H98-I98)</f>
      </c>
    </row>
    <row r="99" spans="1:10" x14ac:dyDescent="0.25">
      <c r="A99" s="17"/>
      <c r="B99" s="18"/>
      <c r="C99" s="19"/>
      <c r="D99" s="11"/>
      <c r="E99" s="11"/>
      <c r="F99" s="12"/>
      <c r="G99" s="13">
        <f>IF(C99="","",C99*E99)</f>
      </c>
      <c r="H99" s="13">
        <f>IF(C99="","",C99*D99)</f>
      </c>
      <c r="I99" s="13">
        <f>IF(C99="","",G99*F99)</f>
      </c>
      <c r="J99" s="20">
        <f>IF(C99="","",G99-H99-I99)</f>
      </c>
    </row>
    <row r="100" spans="1:10" x14ac:dyDescent="0.25">
      <c r="A100" s="17"/>
      <c r="B100" s="18"/>
      <c r="C100" s="19"/>
      <c r="D100" s="11"/>
      <c r="E100" s="11"/>
      <c r="F100" s="12"/>
      <c r="G100" s="13">
        <f>IF(C100="","",C100*E100)</f>
      </c>
      <c r="H100" s="13">
        <f>IF(C100="","",C100*D100)</f>
      </c>
      <c r="I100" s="13">
        <f>IF(C100="","",G100*F100)</f>
      </c>
      <c r="J100" s="20">
        <f>IF(C100="","",G100-H100-I100)</f>
      </c>
    </row>
    <row r="101" spans="1:10" x14ac:dyDescent="0.25">
      <c r="A101" s="17"/>
      <c r="B101" s="18"/>
      <c r="C101" s="19"/>
      <c r="D101" s="11"/>
      <c r="E101" s="11"/>
      <c r="F101" s="12"/>
      <c r="G101" s="13">
        <f>IF(C101="","",C101*E101)</f>
      </c>
      <c r="H101" s="13">
        <f>IF(C101="","",C101*D101)</f>
      </c>
      <c r="I101" s="13">
        <f>IF(C101="","",G101*F101)</f>
      </c>
      <c r="J101" s="20">
        <f>IF(C101="","",G101-H101-I101)</f>
      </c>
    </row>
    <row r="102" spans="1:10" x14ac:dyDescent="0.25">
      <c r="A102" s="17"/>
      <c r="B102" s="18"/>
      <c r="C102" s="19"/>
      <c r="D102" s="11"/>
      <c r="E102" s="11"/>
      <c r="F102" s="12"/>
      <c r="G102" s="13">
        <f>IF(C102="","",C102*E102)</f>
      </c>
      <c r="H102" s="13">
        <f>IF(C102="","",C102*D102)</f>
      </c>
      <c r="I102" s="13">
        <f>IF(C102="","",G102*F102)</f>
      </c>
      <c r="J102" s="20">
        <f>IF(C102="","",G102-H102-I102)</f>
      </c>
    </row>
    <row r="103" spans="1:10" x14ac:dyDescent="0.25">
      <c r="A103" s="17"/>
      <c r="B103" s="18"/>
      <c r="C103" s="19"/>
      <c r="D103" s="11"/>
      <c r="E103" s="11"/>
      <c r="F103" s="12"/>
      <c r="G103" s="13">
        <f>IF(C103="","",C103*E103)</f>
      </c>
      <c r="H103" s="13">
        <f>IF(C103="","",C103*D103)</f>
      </c>
      <c r="I103" s="13">
        <f>IF(C103="","",G103*F103)</f>
      </c>
      <c r="J103" s="20">
        <f>IF(C103="","",G103-H103-I103)</f>
      </c>
    </row>
    <row r="104" spans="1:10" x14ac:dyDescent="0.25">
      <c r="A104" s="17"/>
      <c r="B104" s="18"/>
      <c r="C104" s="19"/>
      <c r="D104" s="11"/>
      <c r="E104" s="11"/>
      <c r="F104" s="12"/>
      <c r="G104" s="13">
        <f>IF(C104="","",C104*E104)</f>
      </c>
      <c r="H104" s="13">
        <f>IF(C104="","",C104*D104)</f>
      </c>
      <c r="I104" s="13">
        <f>IF(C104="","",G104*F104)</f>
      </c>
      <c r="J104" s="20">
        <f>IF(C104="","",G104-H104-I104)</f>
      </c>
    </row>
    <row r="105" spans="1:10" x14ac:dyDescent="0.25">
      <c r="A105" s="17"/>
      <c r="B105" s="18"/>
      <c r="C105" s="19"/>
      <c r="D105" s="11"/>
      <c r="E105" s="11"/>
      <c r="F105" s="12"/>
      <c r="G105" s="13">
        <f>IF(C105="","",C105*E105)</f>
      </c>
      <c r="H105" s="13">
        <f>IF(C105="","",C105*D105)</f>
      </c>
      <c r="I105" s="13">
        <f>IF(C105="","",G105*F105)</f>
      </c>
      <c r="J105" s="20">
        <f>IF(C105="","",G105-H105-I105)</f>
      </c>
    </row>
    <row r="106" spans="1:10" x14ac:dyDescent="0.25">
      <c r="A106" s="17"/>
      <c r="B106" s="18"/>
      <c r="C106" s="19"/>
      <c r="D106" s="11"/>
      <c r="E106" s="11"/>
      <c r="F106" s="12"/>
      <c r="G106" s="13">
        <f>IF(C106="","",C106*E106)</f>
      </c>
      <c r="H106" s="13">
        <f>IF(C106="","",C106*D106)</f>
      </c>
      <c r="I106" s="13">
        <f>IF(C106="","",G106*F106)</f>
      </c>
      <c r="J106" s="20">
        <f>IF(C106="","",G106-H106-I106)</f>
      </c>
    </row>
    <row r="107" spans="1:10" x14ac:dyDescent="0.25">
      <c r="A107" s="17"/>
      <c r="B107" s="18"/>
      <c r="C107" s="19"/>
      <c r="D107" s="11"/>
      <c r="E107" s="11"/>
      <c r="F107" s="12"/>
      <c r="G107" s="13">
        <f>IF(C107="","",C107*E107)</f>
      </c>
      <c r="H107" s="13">
        <f>IF(C107="","",C107*D107)</f>
      </c>
      <c r="I107" s="13">
        <f>IF(C107="","",G107*F107)</f>
      </c>
      <c r="J107" s="20">
        <f>IF(C107="","",G107-H107-I107)</f>
      </c>
    </row>
    <row r="108" spans="1:10" x14ac:dyDescent="0.25">
      <c r="A108" s="17"/>
      <c r="B108" s="18"/>
      <c r="C108" s="19"/>
      <c r="D108" s="11"/>
      <c r="E108" s="11"/>
      <c r="F108" s="12"/>
      <c r="G108" s="13">
        <f>IF(C108="","",C108*E108)</f>
      </c>
      <c r="H108" s="13">
        <f>IF(C108="","",C108*D108)</f>
      </c>
      <c r="I108" s="13">
        <f>IF(C108="","",G108*F108)</f>
      </c>
      <c r="J108" s="20">
        <f>IF(C108="","",G108-H108-I108)</f>
      </c>
    </row>
    <row r="109" spans="1:10" x14ac:dyDescent="0.25">
      <c r="A109" s="17"/>
      <c r="B109" s="18"/>
      <c r="C109" s="19"/>
      <c r="D109" s="11"/>
      <c r="E109" s="11"/>
      <c r="F109" s="12"/>
      <c r="G109" s="13">
        <f>IF(C109="","",C109*E109)</f>
      </c>
      <c r="H109" s="13">
        <f>IF(C109="","",C109*D109)</f>
      </c>
      <c r="I109" s="13">
        <f>IF(C109="","",G109*F109)</f>
      </c>
      <c r="J109" s="20">
        <f>IF(C109="","",G109-H109-I109)</f>
      </c>
    </row>
    <row r="110" spans="1:10" x14ac:dyDescent="0.25">
      <c r="A110" s="17"/>
      <c r="B110" s="18"/>
      <c r="C110" s="19"/>
      <c r="D110" s="11"/>
      <c r="E110" s="11"/>
      <c r="F110" s="12"/>
      <c r="G110" s="13">
        <f>IF(C110="","",C110*E110)</f>
      </c>
      <c r="H110" s="13">
        <f>IF(C110="","",C110*D110)</f>
      </c>
      <c r="I110" s="13">
        <f>IF(C110="","",G110*F110)</f>
      </c>
      <c r="J110" s="20">
        <f>IF(C110="","",G110-H110-I110)</f>
      </c>
    </row>
    <row r="111" spans="1:10" x14ac:dyDescent="0.25">
      <c r="A111" s="17"/>
      <c r="B111" s="18"/>
      <c r="C111" s="19"/>
      <c r="D111" s="11"/>
      <c r="E111" s="11"/>
      <c r="F111" s="12"/>
      <c r="G111" s="13">
        <f>IF(C111="","",C111*E111)</f>
      </c>
      <c r="H111" s="13">
        <f>IF(C111="","",C111*D111)</f>
      </c>
      <c r="I111" s="13">
        <f>IF(C111="","",G111*F111)</f>
      </c>
      <c r="J111" s="20">
        <f>IF(C111="","",G111-H111-I111)</f>
      </c>
    </row>
    <row r="112" spans="1:10" x14ac:dyDescent="0.25">
      <c r="A112" s="17"/>
      <c r="B112" s="18"/>
      <c r="C112" s="19"/>
      <c r="D112" s="11"/>
      <c r="E112" s="11"/>
      <c r="F112" s="12"/>
      <c r="G112" s="13">
        <f>IF(C112="","",C112*E112)</f>
      </c>
      <c r="H112" s="13">
        <f>IF(C112="","",C112*D112)</f>
      </c>
      <c r="I112" s="13">
        <f>IF(C112="","",G112*F112)</f>
      </c>
      <c r="J112" s="20">
        <f>IF(C112="","",G112-H112-I112)</f>
      </c>
    </row>
    <row r="113" spans="1:10" x14ac:dyDescent="0.25">
      <c r="A113" s="17"/>
      <c r="B113" s="18"/>
      <c r="C113" s="19"/>
      <c r="D113" s="11"/>
      <c r="E113" s="11"/>
      <c r="F113" s="12"/>
      <c r="G113" s="13">
        <f>IF(C113="","",C113*E113)</f>
      </c>
      <c r="H113" s="13">
        <f>IF(C113="","",C113*D113)</f>
      </c>
      <c r="I113" s="13">
        <f>IF(C113="","",G113*F113)</f>
      </c>
      <c r="J113" s="20">
        <f>IF(C113="","",G113-H113-I113)</f>
      </c>
    </row>
    <row r="114" spans="1:10" x14ac:dyDescent="0.25">
      <c r="A114" s="17"/>
      <c r="B114" s="18"/>
      <c r="C114" s="19"/>
      <c r="D114" s="11"/>
      <c r="E114" s="11"/>
      <c r="F114" s="12"/>
      <c r="G114" s="13">
        <f>IF(C114="","",C114*E114)</f>
      </c>
      <c r="H114" s="13">
        <f>IF(C114="","",C114*D114)</f>
      </c>
      <c r="I114" s="13">
        <f>IF(C114="","",G114*F114)</f>
      </c>
      <c r="J114" s="20">
        <f>IF(C114="","",G114-H114-I114)</f>
      </c>
    </row>
    <row r="115" spans="1:10" x14ac:dyDescent="0.25">
      <c r="A115" s="17"/>
      <c r="B115" s="18"/>
      <c r="C115" s="19"/>
      <c r="D115" s="11"/>
      <c r="E115" s="11"/>
      <c r="F115" s="12"/>
      <c r="G115" s="13">
        <f>IF(C115="","",C115*E115)</f>
      </c>
      <c r="H115" s="13">
        <f>IF(C115="","",C115*D115)</f>
      </c>
      <c r="I115" s="13">
        <f>IF(C115="","",G115*F115)</f>
      </c>
      <c r="J115" s="20">
        <f>IF(C115="","",G115-H115-I115)</f>
      </c>
    </row>
    <row r="116" spans="1:10" x14ac:dyDescent="0.25">
      <c r="A116" s="17"/>
      <c r="B116" s="18"/>
      <c r="C116" s="19"/>
      <c r="D116" s="11"/>
      <c r="E116" s="11"/>
      <c r="F116" s="12"/>
      <c r="G116" s="13">
        <f>IF(C116="","",C116*E116)</f>
      </c>
      <c r="H116" s="13">
        <f>IF(C116="","",C116*D116)</f>
      </c>
      <c r="I116" s="13">
        <f>IF(C116="","",G116*F116)</f>
      </c>
      <c r="J116" s="20">
        <f>IF(C116="","",G116-H116-I116)</f>
      </c>
    </row>
    <row r="117" spans="1:10" x14ac:dyDescent="0.25">
      <c r="A117" s="17"/>
      <c r="B117" s="18"/>
      <c r="C117" s="19"/>
      <c r="D117" s="11"/>
      <c r="E117" s="11"/>
      <c r="F117" s="12"/>
      <c r="G117" s="13">
        <f>IF(C117="","",C117*E117)</f>
      </c>
      <c r="H117" s="13">
        <f>IF(C117="","",C117*D117)</f>
      </c>
      <c r="I117" s="13">
        <f>IF(C117="","",G117*F117)</f>
      </c>
      <c r="J117" s="20">
        <f>IF(C117="","",G117-H117-I117)</f>
      </c>
    </row>
    <row r="118" spans="1:10" x14ac:dyDescent="0.25">
      <c r="A118" s="17"/>
      <c r="B118" s="18"/>
      <c r="C118" s="19"/>
      <c r="D118" s="11"/>
      <c r="E118" s="11"/>
      <c r="F118" s="12"/>
      <c r="G118" s="13">
        <f>IF(C118="","",C118*E118)</f>
      </c>
      <c r="H118" s="13">
        <f>IF(C118="","",C118*D118)</f>
      </c>
      <c r="I118" s="13">
        <f>IF(C118="","",G118*F118)</f>
      </c>
      <c r="J118" s="20">
        <f>IF(C118="","",G118-H118-I118)</f>
      </c>
    </row>
    <row r="119" spans="1:10" x14ac:dyDescent="0.25">
      <c r="A119" s="17"/>
      <c r="B119" s="18"/>
      <c r="C119" s="19"/>
      <c r="D119" s="11"/>
      <c r="E119" s="11"/>
      <c r="F119" s="12"/>
      <c r="G119" s="13">
        <f>IF(C119="","",C119*E119)</f>
      </c>
      <c r="H119" s="13">
        <f>IF(C119="","",C119*D119)</f>
      </c>
      <c r="I119" s="13">
        <f>IF(C119="","",G119*F119)</f>
      </c>
      <c r="J119" s="20">
        <f>IF(C119="","",G119-H119-I119)</f>
      </c>
    </row>
    <row r="120" spans="1:10" x14ac:dyDescent="0.25">
      <c r="A120" s="17"/>
      <c r="B120" s="18"/>
      <c r="C120" s="19"/>
      <c r="D120" s="11"/>
      <c r="E120" s="11"/>
      <c r="F120" s="12"/>
      <c r="G120" s="13">
        <f>IF(C120="","",C120*E120)</f>
      </c>
      <c r="H120" s="13">
        <f>IF(C120="","",C120*D120)</f>
      </c>
      <c r="I120" s="13">
        <f>IF(C120="","",G120*F120)</f>
      </c>
      <c r="J120" s="20">
        <f>IF(C120="","",G120-H120-I120)</f>
      </c>
    </row>
    <row r="121" spans="1:10" x14ac:dyDescent="0.25">
      <c r="A121" s="17"/>
      <c r="B121" s="18"/>
      <c r="C121" s="19"/>
      <c r="D121" s="11"/>
      <c r="E121" s="11"/>
      <c r="F121" s="12"/>
      <c r="G121" s="13">
        <f>IF(C121="","",C121*E121)</f>
      </c>
      <c r="H121" s="13">
        <f>IF(C121="","",C121*D121)</f>
      </c>
      <c r="I121" s="13">
        <f>IF(C121="","",G121*F121)</f>
      </c>
      <c r="J121" s="20">
        <f>IF(C121="","",G121-H121-I121)</f>
      </c>
    </row>
    <row r="122" spans="1:10" x14ac:dyDescent="0.25">
      <c r="A122" s="17"/>
      <c r="B122" s="18"/>
      <c r="C122" s="19"/>
      <c r="D122" s="11"/>
      <c r="E122" s="11"/>
      <c r="F122" s="12"/>
      <c r="G122" s="13">
        <f>IF(C122="","",C122*E122)</f>
      </c>
      <c r="H122" s="13">
        <f>IF(C122="","",C122*D122)</f>
      </c>
      <c r="I122" s="13">
        <f>IF(C122="","",G122*F122)</f>
      </c>
      <c r="J122" s="20">
        <f>IF(C122="","",G122-H122-I122)</f>
      </c>
    </row>
    <row r="123" spans="1:10" x14ac:dyDescent="0.25">
      <c r="A123" s="17"/>
      <c r="B123" s="18"/>
      <c r="C123" s="19"/>
      <c r="D123" s="11"/>
      <c r="E123" s="11"/>
      <c r="F123" s="12"/>
      <c r="G123" s="13">
        <f>IF(C123="","",C123*E123)</f>
      </c>
      <c r="H123" s="13">
        <f>IF(C123="","",C123*D123)</f>
      </c>
      <c r="I123" s="13">
        <f>IF(C123="","",G123*F123)</f>
      </c>
      <c r="J123" s="20">
        <f>IF(C123="","",G123-H123-I123)</f>
      </c>
    </row>
    <row r="124" spans="1:10" x14ac:dyDescent="0.25">
      <c r="A124" s="17"/>
      <c r="B124" s="18"/>
      <c r="C124" s="19"/>
      <c r="D124" s="11"/>
      <c r="E124" s="11"/>
      <c r="F124" s="12"/>
      <c r="G124" s="13">
        <f>IF(C124="","",C124*E124)</f>
      </c>
      <c r="H124" s="13">
        <f>IF(C124="","",C124*D124)</f>
      </c>
      <c r="I124" s="13">
        <f>IF(C124="","",G124*F124)</f>
      </c>
      <c r="J124" s="20">
        <f>IF(C124="","",G124-H124-I124)</f>
      </c>
    </row>
    <row r="125" spans="1:10" x14ac:dyDescent="0.25">
      <c r="A125" s="17"/>
      <c r="B125" s="18"/>
      <c r="C125" s="19"/>
      <c r="D125" s="11"/>
      <c r="E125" s="11"/>
      <c r="F125" s="12"/>
      <c r="G125" s="13">
        <f>IF(C125="","",C125*E125)</f>
      </c>
      <c r="H125" s="13">
        <f>IF(C125="","",C125*D125)</f>
      </c>
      <c r="I125" s="13">
        <f>IF(C125="","",G125*F125)</f>
      </c>
      <c r="J125" s="20">
        <f>IF(C125="","",G125-H125-I125)</f>
      </c>
    </row>
    <row r="126" spans="1:10" x14ac:dyDescent="0.25">
      <c r="A126" s="17"/>
      <c r="B126" s="18"/>
      <c r="C126" s="19"/>
      <c r="D126" s="11"/>
      <c r="E126" s="11"/>
      <c r="F126" s="12"/>
      <c r="G126" s="13">
        <f>IF(C126="","",C126*E126)</f>
      </c>
      <c r="H126" s="13">
        <f>IF(C126="","",C126*D126)</f>
      </c>
      <c r="I126" s="13">
        <f>IF(C126="","",G126*F126)</f>
      </c>
      <c r="J126" s="20">
        <f>IF(C126="","",G126-H126-I126)</f>
      </c>
    </row>
    <row r="127" spans="1:10" x14ac:dyDescent="0.25">
      <c r="A127" s="17"/>
      <c r="B127" s="18"/>
      <c r="C127" s="19"/>
      <c r="D127" s="11"/>
      <c r="E127" s="11"/>
      <c r="F127" s="12"/>
      <c r="G127" s="13">
        <f>IF(C127="","",C127*E127)</f>
      </c>
      <c r="H127" s="13">
        <f>IF(C127="","",C127*D127)</f>
      </c>
      <c r="I127" s="13">
        <f>IF(C127="","",G127*F127)</f>
      </c>
      <c r="J127" s="20">
        <f>IF(C127="","",G127-H127-I127)</f>
      </c>
    </row>
    <row r="128" spans="1:10" x14ac:dyDescent="0.25">
      <c r="A128" s="17"/>
      <c r="B128" s="18"/>
      <c r="C128" s="19"/>
      <c r="D128" s="11"/>
      <c r="E128" s="11"/>
      <c r="F128" s="12"/>
      <c r="G128" s="13">
        <f>IF(C128="","",C128*E128)</f>
      </c>
      <c r="H128" s="13">
        <f>IF(C128="","",C128*D128)</f>
      </c>
      <c r="I128" s="13">
        <f>IF(C128="","",G128*F128)</f>
      </c>
      <c r="J128" s="20">
        <f>IF(C128="","",G128-H128-I128)</f>
      </c>
    </row>
    <row r="129" spans="1:10" x14ac:dyDescent="0.25">
      <c r="A129" s="17"/>
      <c r="B129" s="18"/>
      <c r="C129" s="19"/>
      <c r="D129" s="11"/>
      <c r="E129" s="11"/>
      <c r="F129" s="12"/>
      <c r="G129" s="13">
        <f>IF(C129="","",C129*E129)</f>
      </c>
      <c r="H129" s="13">
        <f>IF(C129="","",C129*D129)</f>
      </c>
      <c r="I129" s="13">
        <f>IF(C129="","",G129*F129)</f>
      </c>
      <c r="J129" s="20">
        <f>IF(C129="","",G129-H129-I129)</f>
      </c>
    </row>
    <row r="130" spans="1:10" x14ac:dyDescent="0.25">
      <c r="A130" s="17"/>
      <c r="B130" s="18"/>
      <c r="C130" s="19"/>
      <c r="D130" s="11"/>
      <c r="E130" s="11"/>
      <c r="F130" s="12"/>
      <c r="G130" s="13">
        <f>IF(C130="","",C130*E130)</f>
      </c>
      <c r="H130" s="13">
        <f>IF(C130="","",C130*D130)</f>
      </c>
      <c r="I130" s="13">
        <f>IF(C130="","",G130*F130)</f>
      </c>
      <c r="J130" s="20">
        <f>IF(C130="","",G130-H130-I130)</f>
      </c>
    </row>
    <row r="131" spans="1:10" x14ac:dyDescent="0.25">
      <c r="A131" s="17"/>
      <c r="B131" s="18"/>
      <c r="C131" s="19"/>
      <c r="D131" s="11"/>
      <c r="E131" s="11"/>
      <c r="F131" s="12"/>
      <c r="G131" s="13">
        <f>IF(C131="","",C131*E131)</f>
      </c>
      <c r="H131" s="13">
        <f>IF(C131="","",C131*D131)</f>
      </c>
      <c r="I131" s="13">
        <f>IF(C131="","",G131*F131)</f>
      </c>
      <c r="J131" s="20">
        <f>IF(C131="","",G131-H131-I131)</f>
      </c>
    </row>
    <row r="132" spans="1:10" x14ac:dyDescent="0.25">
      <c r="A132" s="17"/>
      <c r="B132" s="18"/>
      <c r="C132" s="19"/>
      <c r="D132" s="11"/>
      <c r="E132" s="11"/>
      <c r="F132" s="12"/>
      <c r="G132" s="13">
        <f>IF(C132="","",C132*E132)</f>
      </c>
      <c r="H132" s="13">
        <f>IF(C132="","",C132*D132)</f>
      </c>
      <c r="I132" s="13">
        <f>IF(C132="","",G132*F132)</f>
      </c>
      <c r="J132" s="20">
        <f>IF(C132="","",G132-H132-I132)</f>
      </c>
    </row>
    <row r="133" spans="1:10" x14ac:dyDescent="0.25">
      <c r="A133" s="17"/>
      <c r="B133" s="18"/>
      <c r="C133" s="19"/>
      <c r="D133" s="11"/>
      <c r="E133" s="11"/>
      <c r="F133" s="12"/>
      <c r="G133" s="13">
        <f>IF(C133="","",C133*E133)</f>
      </c>
      <c r="H133" s="13">
        <f>IF(C133="","",C133*D133)</f>
      </c>
      <c r="I133" s="13">
        <f>IF(C133="","",G133*F133)</f>
      </c>
      <c r="J133" s="20">
        <f>IF(C133="","",G133-H133-I133)</f>
      </c>
    </row>
    <row r="134" spans="1:10" x14ac:dyDescent="0.25">
      <c r="A134" s="17"/>
      <c r="B134" s="18"/>
      <c r="C134" s="19"/>
      <c r="D134" s="11"/>
      <c r="E134" s="11"/>
      <c r="F134" s="12"/>
      <c r="G134" s="13">
        <f>IF(C134="","",C134*E134)</f>
      </c>
      <c r="H134" s="13">
        <f>IF(C134="","",C134*D134)</f>
      </c>
      <c r="I134" s="13">
        <f>IF(C134="","",G134*F134)</f>
      </c>
      <c r="J134" s="20">
        <f>IF(C134="","",G134-H134-I134)</f>
      </c>
    </row>
    <row r="135" spans="1:10" x14ac:dyDescent="0.25">
      <c r="A135" s="17"/>
      <c r="B135" s="18"/>
      <c r="C135" s="19"/>
      <c r="D135" s="11"/>
      <c r="E135" s="11"/>
      <c r="F135" s="12"/>
      <c r="G135" s="13">
        <f>IF(C135="","",C135*E135)</f>
      </c>
      <c r="H135" s="13">
        <f>IF(C135="","",C135*D135)</f>
      </c>
      <c r="I135" s="13">
        <f>IF(C135="","",G135*F135)</f>
      </c>
      <c r="J135" s="20">
        <f>IF(C135="","",G135-H135-I135)</f>
      </c>
    </row>
    <row r="136" spans="1:10" x14ac:dyDescent="0.25">
      <c r="A136" s="17"/>
      <c r="B136" s="18"/>
      <c r="C136" s="19"/>
      <c r="D136" s="11"/>
      <c r="E136" s="11"/>
      <c r="F136" s="12"/>
      <c r="G136" s="13">
        <f>IF(C136="","",C136*E136)</f>
      </c>
      <c r="H136" s="13">
        <f>IF(C136="","",C136*D136)</f>
      </c>
      <c r="I136" s="13">
        <f>IF(C136="","",G136*F136)</f>
      </c>
      <c r="J136" s="20">
        <f>IF(C136="","",G136-H136-I136)</f>
      </c>
    </row>
    <row r="137" spans="1:10" x14ac:dyDescent="0.25">
      <c r="A137" s="17"/>
      <c r="B137" s="18"/>
      <c r="C137" s="19"/>
      <c r="D137" s="11"/>
      <c r="E137" s="11"/>
      <c r="F137" s="12"/>
      <c r="G137" s="13">
        <f>IF(C137="","",C137*E137)</f>
      </c>
      <c r="H137" s="13">
        <f>IF(C137="","",C137*D137)</f>
      </c>
      <c r="I137" s="13">
        <f>IF(C137="","",G137*F137)</f>
      </c>
      <c r="J137" s="20">
        <f>IF(C137="","",G137-H137-I137)</f>
      </c>
    </row>
    <row r="138" spans="1:10" x14ac:dyDescent="0.25">
      <c r="A138" s="17"/>
      <c r="B138" s="18"/>
      <c r="C138" s="19"/>
      <c r="D138" s="11"/>
      <c r="E138" s="11"/>
      <c r="F138" s="12"/>
      <c r="G138" s="13">
        <f>IF(C138="","",C138*E138)</f>
      </c>
      <c r="H138" s="13">
        <f>IF(C138="","",C138*D138)</f>
      </c>
      <c r="I138" s="13">
        <f>IF(C138="","",G138*F138)</f>
      </c>
      <c r="J138" s="20">
        <f>IF(C138="","",G138-H138-I138)</f>
      </c>
    </row>
    <row r="139" spans="1:10" x14ac:dyDescent="0.25">
      <c r="A139" s="17"/>
      <c r="B139" s="18"/>
      <c r="C139" s="19"/>
      <c r="D139" s="11"/>
      <c r="E139" s="11"/>
      <c r="F139" s="12"/>
      <c r="G139" s="13">
        <f>IF(C139="","",C139*E139)</f>
      </c>
      <c r="H139" s="13">
        <f>IF(C139="","",C139*D139)</f>
      </c>
      <c r="I139" s="13">
        <f>IF(C139="","",G139*F139)</f>
      </c>
      <c r="J139" s="20">
        <f>IF(C139="","",G139-H139-I139)</f>
      </c>
    </row>
    <row r="140" spans="1:10" x14ac:dyDescent="0.25">
      <c r="A140" s="17"/>
      <c r="B140" s="18"/>
      <c r="C140" s="19"/>
      <c r="D140" s="11"/>
      <c r="E140" s="11"/>
      <c r="F140" s="12"/>
      <c r="G140" s="13">
        <f>IF(C140="","",C140*E140)</f>
      </c>
      <c r="H140" s="13">
        <f>IF(C140="","",C140*D140)</f>
      </c>
      <c r="I140" s="13">
        <f>IF(C140="","",G140*F140)</f>
      </c>
      <c r="J140" s="20">
        <f>IF(C140="","",G140-H140-I140)</f>
      </c>
    </row>
    <row r="141" spans="1:10" x14ac:dyDescent="0.25">
      <c r="A141" s="17"/>
      <c r="B141" s="18"/>
      <c r="C141" s="19"/>
      <c r="D141" s="11"/>
      <c r="E141" s="11"/>
      <c r="F141" s="12"/>
      <c r="G141" s="13">
        <f>IF(C141="","",C141*E141)</f>
      </c>
      <c r="H141" s="13">
        <f>IF(C141="","",C141*D141)</f>
      </c>
      <c r="I141" s="13">
        <f>IF(C141="","",G141*F141)</f>
      </c>
      <c r="J141" s="20">
        <f>IF(C141="","",G141-H141-I141)</f>
      </c>
    </row>
    <row r="142" spans="1:10" x14ac:dyDescent="0.25">
      <c r="A142" s="17"/>
      <c r="B142" s="18"/>
      <c r="C142" s="19"/>
      <c r="D142" s="11"/>
      <c r="E142" s="11"/>
      <c r="F142" s="12"/>
      <c r="G142" s="13">
        <f>IF(C142="","",C142*E142)</f>
      </c>
      <c r="H142" s="13">
        <f>IF(C142="","",C142*D142)</f>
      </c>
      <c r="I142" s="13">
        <f>IF(C142="","",G142*F142)</f>
      </c>
      <c r="J142" s="20">
        <f>IF(C142="","",G142-H142-I142)</f>
      </c>
    </row>
    <row r="143" spans="1:10" x14ac:dyDescent="0.25">
      <c r="A143" s="17"/>
      <c r="B143" s="18"/>
      <c r="C143" s="19"/>
      <c r="D143" s="11"/>
      <c r="E143" s="11"/>
      <c r="F143" s="12"/>
      <c r="G143" s="13">
        <f>IF(C143="","",C143*E143)</f>
      </c>
      <c r="H143" s="13">
        <f>IF(C143="","",C143*D143)</f>
      </c>
      <c r="I143" s="13">
        <f>IF(C143="","",G143*F143)</f>
      </c>
      <c r="J143" s="20">
        <f>IF(C143="","",G143-H143-I143)</f>
      </c>
    </row>
    <row r="144" spans="1:10" x14ac:dyDescent="0.25">
      <c r="A144" s="17"/>
      <c r="B144" s="18"/>
      <c r="C144" s="19"/>
      <c r="D144" s="11"/>
      <c r="E144" s="11"/>
      <c r="F144" s="12"/>
      <c r="G144" s="13">
        <f>IF(C144="","",C144*E144)</f>
      </c>
      <c r="H144" s="13">
        <f>IF(C144="","",C144*D144)</f>
      </c>
      <c r="I144" s="13">
        <f>IF(C144="","",G144*F144)</f>
      </c>
      <c r="J144" s="20">
        <f>IF(C144="","",G144-H144-I144)</f>
      </c>
    </row>
    <row r="145" spans="1:10" x14ac:dyDescent="0.25">
      <c r="A145" s="17"/>
      <c r="B145" s="18"/>
      <c r="C145" s="19"/>
      <c r="D145" s="11"/>
      <c r="E145" s="11"/>
      <c r="F145" s="12"/>
      <c r="G145" s="13">
        <f>IF(C145="","",C145*E145)</f>
      </c>
      <c r="H145" s="13">
        <f>IF(C145="","",C145*D145)</f>
      </c>
      <c r="I145" s="13">
        <f>IF(C145="","",G145*F145)</f>
      </c>
      <c r="J145" s="20">
        <f>IF(C145="","",G145-H145-I145)</f>
      </c>
    </row>
    <row r="146" spans="1:10" x14ac:dyDescent="0.25">
      <c r="A146" s="17"/>
      <c r="B146" s="18"/>
      <c r="C146" s="19"/>
      <c r="D146" s="11"/>
      <c r="E146" s="11"/>
      <c r="F146" s="12"/>
      <c r="G146" s="13">
        <f>IF(C146="","",C146*E146)</f>
      </c>
      <c r="H146" s="13">
        <f>IF(C146="","",C146*D146)</f>
      </c>
      <c r="I146" s="13">
        <f>IF(C146="","",G146*F146)</f>
      </c>
      <c r="J146" s="20">
        <f>IF(C146="","",G146-H146-I146)</f>
      </c>
    </row>
    <row r="147" spans="1:10" x14ac:dyDescent="0.25">
      <c r="A147" s="17"/>
      <c r="B147" s="18"/>
      <c r="C147" s="19"/>
      <c r="D147" s="11"/>
      <c r="E147" s="11"/>
      <c r="F147" s="12"/>
      <c r="G147" s="13">
        <f>IF(C147="","",C147*E147)</f>
      </c>
      <c r="H147" s="13">
        <f>IF(C147="","",C147*D147)</f>
      </c>
      <c r="I147" s="13">
        <f>IF(C147="","",G147*F147)</f>
      </c>
      <c r="J147" s="20">
        <f>IF(C147="","",G147-H147-I147)</f>
      </c>
    </row>
    <row r="148" spans="1:10" x14ac:dyDescent="0.25">
      <c r="A148" s="17"/>
      <c r="B148" s="18"/>
      <c r="C148" s="19"/>
      <c r="D148" s="11"/>
      <c r="E148" s="11"/>
      <c r="F148" s="12"/>
      <c r="G148" s="13">
        <f>IF(C148="","",C148*E148)</f>
      </c>
      <c r="H148" s="13">
        <f>IF(C148="","",C148*D148)</f>
      </c>
      <c r="I148" s="13">
        <f>IF(C148="","",G148*F148)</f>
      </c>
      <c r="J148" s="20">
        <f>IF(C148="","",G148-H148-I148)</f>
      </c>
    </row>
    <row r="149" spans="1:10" x14ac:dyDescent="0.25">
      <c r="A149" s="17"/>
      <c r="B149" s="18"/>
      <c r="C149" s="19"/>
      <c r="D149" s="11"/>
      <c r="E149" s="11"/>
      <c r="F149" s="12"/>
      <c r="G149" s="13">
        <f>IF(C149="","",C149*E149)</f>
      </c>
      <c r="H149" s="13">
        <f>IF(C149="","",C149*D149)</f>
      </c>
      <c r="I149" s="13">
        <f>IF(C149="","",G149*F149)</f>
      </c>
      <c r="J149" s="20">
        <f>IF(C149="","",G149-H149-I149)</f>
      </c>
    </row>
    <row r="150" spans="1:10" x14ac:dyDescent="0.25">
      <c r="A150" s="17"/>
      <c r="B150" s="18"/>
      <c r="C150" s="19"/>
      <c r="D150" s="11"/>
      <c r="E150" s="11"/>
      <c r="F150" s="12"/>
      <c r="G150" s="13">
        <f>IF(C150="","",C150*E150)</f>
      </c>
      <c r="H150" s="13">
        <f>IF(C150="","",C150*D150)</f>
      </c>
      <c r="I150" s="13">
        <f>IF(C150="","",G150*F150)</f>
      </c>
      <c r="J150" s="20">
        <f>IF(C150="","",G150-H150-I150)</f>
      </c>
    </row>
    <row r="151" spans="1:10" x14ac:dyDescent="0.25">
      <c r="A151" s="17"/>
      <c r="B151" s="18"/>
      <c r="C151" s="19"/>
      <c r="D151" s="11"/>
      <c r="E151" s="11"/>
      <c r="F151" s="12"/>
      <c r="G151" s="13">
        <f>IF(C151="","",C151*E151)</f>
      </c>
      <c r="H151" s="13">
        <f>IF(C151="","",C151*D151)</f>
      </c>
      <c r="I151" s="13">
        <f>IF(C151="","",G151*F151)</f>
      </c>
      <c r="J151" s="20">
        <f>IF(C151="","",G151-H151-I151)</f>
      </c>
    </row>
    <row r="152" spans="1:10" x14ac:dyDescent="0.25">
      <c r="A152" s="17"/>
      <c r="B152" s="18"/>
      <c r="C152" s="19"/>
      <c r="D152" s="11"/>
      <c r="E152" s="11"/>
      <c r="F152" s="12"/>
      <c r="G152" s="13">
        <f>IF(C152="","",C152*E152)</f>
      </c>
      <c r="H152" s="13">
        <f>IF(C152="","",C152*D152)</f>
      </c>
      <c r="I152" s="13">
        <f>IF(C152="","",G152*F152)</f>
      </c>
      <c r="J152" s="20">
        <f>IF(C152="","",G152-H152-I152)</f>
      </c>
    </row>
    <row r="153" spans="1:10" x14ac:dyDescent="0.25">
      <c r="A153" s="17"/>
      <c r="B153" s="18"/>
      <c r="C153" s="19"/>
      <c r="D153" s="11"/>
      <c r="E153" s="11"/>
      <c r="F153" s="12"/>
      <c r="G153" s="13">
        <f>IF(C153="","",C153*E153)</f>
      </c>
      <c r="H153" s="13">
        <f>IF(C153="","",C153*D153)</f>
      </c>
      <c r="I153" s="13">
        <f>IF(C153="","",G153*F153)</f>
      </c>
      <c r="J153" s="20">
        <f>IF(C153="","",G153-H153-I153)</f>
      </c>
    </row>
    <row r="154" spans="1:10" x14ac:dyDescent="0.25">
      <c r="A154" s="17"/>
      <c r="B154" s="18"/>
      <c r="C154" s="19"/>
      <c r="D154" s="11"/>
      <c r="E154" s="11"/>
      <c r="F154" s="12"/>
      <c r="G154" s="13">
        <f>IF(C154="","",C154*E154)</f>
      </c>
      <c r="H154" s="13">
        <f>IF(C154="","",C154*D154)</f>
      </c>
      <c r="I154" s="13">
        <f>IF(C154="","",G154*F154)</f>
      </c>
      <c r="J154" s="20">
        <f>IF(C154="","",G154-H154-I154)</f>
      </c>
    </row>
    <row r="155" spans="1:10" x14ac:dyDescent="0.25">
      <c r="A155" s="17"/>
      <c r="B155" s="18"/>
      <c r="C155" s="19"/>
      <c r="D155" s="11"/>
      <c r="E155" s="11"/>
      <c r="F155" s="12"/>
      <c r="G155" s="13">
        <f>IF(C155="","",C155*E155)</f>
      </c>
      <c r="H155" s="13">
        <f>IF(C155="","",C155*D155)</f>
      </c>
      <c r="I155" s="13">
        <f>IF(C155="","",G155*F155)</f>
      </c>
      <c r="J155" s="20">
        <f>IF(C155="","",G155-H155-I155)</f>
      </c>
    </row>
    <row r="156" spans="1:10" x14ac:dyDescent="0.25">
      <c r="A156" s="17"/>
      <c r="B156" s="18"/>
      <c r="C156" s="19"/>
      <c r="D156" s="11"/>
      <c r="E156" s="11"/>
      <c r="F156" s="12"/>
      <c r="G156" s="13">
        <f>IF(C156="","",C156*E156)</f>
      </c>
      <c r="H156" s="13">
        <f>IF(C156="","",C156*D156)</f>
      </c>
      <c r="I156" s="13">
        <f>IF(C156="","",G156*F156)</f>
      </c>
      <c r="J156" s="20">
        <f>IF(C156="","",G156-H156-I156)</f>
      </c>
    </row>
    <row r="157" spans="1:10" x14ac:dyDescent="0.25">
      <c r="A157" s="17"/>
      <c r="B157" s="18"/>
      <c r="C157" s="19"/>
      <c r="D157" s="11"/>
      <c r="E157" s="11"/>
      <c r="F157" s="12"/>
      <c r="G157" s="13">
        <f>IF(C157="","",C157*E157)</f>
      </c>
      <c r="H157" s="13">
        <f>IF(C157="","",C157*D157)</f>
      </c>
      <c r="I157" s="13">
        <f>IF(C157="","",G157*F157)</f>
      </c>
      <c r="J157" s="20">
        <f>IF(C157="","",G157-H157-I157)</f>
      </c>
    </row>
    <row r="158" spans="1:10" x14ac:dyDescent="0.25">
      <c r="A158" s="17"/>
      <c r="B158" s="18"/>
      <c r="C158" s="19"/>
      <c r="D158" s="11"/>
      <c r="E158" s="11"/>
      <c r="F158" s="12"/>
      <c r="G158" s="13">
        <f>IF(C158="","",C158*E158)</f>
      </c>
      <c r="H158" s="13">
        <f>IF(C158="","",C158*D158)</f>
      </c>
      <c r="I158" s="13">
        <f>IF(C158="","",G158*F158)</f>
      </c>
      <c r="J158" s="20">
        <f>IF(C158="","",G158-H158-I158)</f>
      </c>
    </row>
    <row r="159" spans="1:10" x14ac:dyDescent="0.25">
      <c r="A159" s="17"/>
      <c r="B159" s="18"/>
      <c r="C159" s="19"/>
      <c r="D159" s="11"/>
      <c r="E159" s="11"/>
      <c r="F159" s="12"/>
      <c r="G159" s="13">
        <f>IF(C159="","",C159*E159)</f>
      </c>
      <c r="H159" s="13">
        <f>IF(C159="","",C159*D159)</f>
      </c>
      <c r="I159" s="13">
        <f>IF(C159="","",G159*F159)</f>
      </c>
      <c r="J159" s="20">
        <f>IF(C159="","",G159-H159-I159)</f>
      </c>
    </row>
    <row r="160" spans="1:10" x14ac:dyDescent="0.25">
      <c r="A160" s="17"/>
      <c r="B160" s="18"/>
      <c r="C160" s="19"/>
      <c r="D160" s="11"/>
      <c r="E160" s="11"/>
      <c r="F160" s="12"/>
      <c r="G160" s="13">
        <f>IF(C160="","",C160*E160)</f>
      </c>
      <c r="H160" s="13">
        <f>IF(C160="","",C160*D160)</f>
      </c>
      <c r="I160" s="13">
        <f>IF(C160="","",G160*F160)</f>
      </c>
      <c r="J160" s="20">
        <f>IF(C160="","",G160-H160-I160)</f>
      </c>
    </row>
    <row r="161" spans="1:10" x14ac:dyDescent="0.25">
      <c r="A161" s="17"/>
      <c r="B161" s="18"/>
      <c r="C161" s="19"/>
      <c r="D161" s="11"/>
      <c r="E161" s="11"/>
      <c r="F161" s="12"/>
      <c r="G161" s="13">
        <f>IF(C161="","",C161*E161)</f>
      </c>
      <c r="H161" s="13">
        <f>IF(C161="","",C161*D161)</f>
      </c>
      <c r="I161" s="13">
        <f>IF(C161="","",G161*F161)</f>
      </c>
      <c r="J161" s="20">
        <f>IF(C161="","",G161-H161-I161)</f>
      </c>
    </row>
    <row r="162" spans="1:10" x14ac:dyDescent="0.25">
      <c r="A162" s="17"/>
      <c r="B162" s="18"/>
      <c r="C162" s="19"/>
      <c r="D162" s="11"/>
      <c r="E162" s="11"/>
      <c r="F162" s="12"/>
      <c r="G162" s="13">
        <f>IF(C162="","",C162*E162)</f>
      </c>
      <c r="H162" s="13">
        <f>IF(C162="","",C162*D162)</f>
      </c>
      <c r="I162" s="13">
        <f>IF(C162="","",G162*F162)</f>
      </c>
      <c r="J162" s="20">
        <f>IF(C162="","",G162-H162-I162)</f>
      </c>
    </row>
    <row r="163" spans="1:10" x14ac:dyDescent="0.25">
      <c r="A163" s="17"/>
      <c r="B163" s="18"/>
      <c r="C163" s="19"/>
      <c r="D163" s="11"/>
      <c r="E163" s="11"/>
      <c r="F163" s="12"/>
      <c r="G163" s="13">
        <f>IF(C163="","",C163*E163)</f>
      </c>
      <c r="H163" s="13">
        <f>IF(C163="","",C163*D163)</f>
      </c>
      <c r="I163" s="13">
        <f>IF(C163="","",G163*F163)</f>
      </c>
      <c r="J163" s="20">
        <f>IF(C163="","",G163-H163-I163)</f>
      </c>
    </row>
    <row r="164" spans="1:10" x14ac:dyDescent="0.25">
      <c r="A164" s="17"/>
      <c r="B164" s="18"/>
      <c r="C164" s="19"/>
      <c r="D164" s="11"/>
      <c r="E164" s="11"/>
      <c r="F164" s="12"/>
      <c r="G164" s="13">
        <f>IF(C164="","",C164*E164)</f>
      </c>
      <c r="H164" s="13">
        <f>IF(C164="","",C164*D164)</f>
      </c>
      <c r="I164" s="13">
        <f>IF(C164="","",G164*F164)</f>
      </c>
      <c r="J164" s="20">
        <f>IF(C164="","",G164-H164-I164)</f>
      </c>
    </row>
    <row r="165" spans="1:10" x14ac:dyDescent="0.25">
      <c r="A165" s="17"/>
      <c r="B165" s="18"/>
      <c r="C165" s="19"/>
      <c r="D165" s="11"/>
      <c r="E165" s="11"/>
      <c r="F165" s="12"/>
      <c r="G165" s="13">
        <f>IF(C165="","",C165*E165)</f>
      </c>
      <c r="H165" s="13">
        <f>IF(C165="","",C165*D165)</f>
      </c>
      <c r="I165" s="13">
        <f>IF(C165="","",G165*F165)</f>
      </c>
      <c r="J165" s="20">
        <f>IF(C165="","",G165-H165-I165)</f>
      </c>
    </row>
    <row r="166" spans="1:10" x14ac:dyDescent="0.25">
      <c r="A166" s="17"/>
      <c r="B166" s="18"/>
      <c r="C166" s="19"/>
      <c r="D166" s="11"/>
      <c r="E166" s="11"/>
      <c r="F166" s="12"/>
      <c r="G166" s="13">
        <f>IF(C166="","",C166*E166)</f>
      </c>
      <c r="H166" s="13">
        <f>IF(C166="","",C166*D166)</f>
      </c>
      <c r="I166" s="13">
        <f>IF(C166="","",G166*F166)</f>
      </c>
      <c r="J166" s="20">
        <f>IF(C166="","",G166-H166-I166)</f>
      </c>
    </row>
    <row r="167" spans="1:10" x14ac:dyDescent="0.25">
      <c r="A167" s="17"/>
      <c r="B167" s="18"/>
      <c r="C167" s="19"/>
      <c r="D167" s="11"/>
      <c r="E167" s="11"/>
      <c r="F167" s="12"/>
      <c r="G167" s="13">
        <f>IF(C167="","",C167*E167)</f>
      </c>
      <c r="H167" s="13">
        <f>IF(C167="","",C167*D167)</f>
      </c>
      <c r="I167" s="13">
        <f>IF(C167="","",G167*F167)</f>
      </c>
      <c r="J167" s="20">
        <f>IF(C167="","",G167-H167-I167)</f>
      </c>
    </row>
    <row r="168" spans="1:10" x14ac:dyDescent="0.25">
      <c r="A168" s="17"/>
      <c r="B168" s="18"/>
      <c r="C168" s="19"/>
      <c r="D168" s="11"/>
      <c r="E168" s="11"/>
      <c r="F168" s="12"/>
      <c r="G168" s="13">
        <f>IF(C168="","",C168*E168)</f>
      </c>
      <c r="H168" s="13">
        <f>IF(C168="","",C168*D168)</f>
      </c>
      <c r="I168" s="13">
        <f>IF(C168="","",G168*F168)</f>
      </c>
      <c r="J168" s="20">
        <f>IF(C168="","",G168-H168-I168)</f>
      </c>
    </row>
    <row r="169" spans="1:10" x14ac:dyDescent="0.25">
      <c r="A169" s="17"/>
      <c r="B169" s="18"/>
      <c r="C169" s="19"/>
      <c r="D169" s="11"/>
      <c r="E169" s="11"/>
      <c r="F169" s="12"/>
      <c r="G169" s="13">
        <f>IF(C169="","",C169*E169)</f>
      </c>
      <c r="H169" s="13">
        <f>IF(C169="","",C169*D169)</f>
      </c>
      <c r="I169" s="13">
        <f>IF(C169="","",G169*F169)</f>
      </c>
      <c r="J169" s="20">
        <f>IF(C169="","",G169-H169-I169)</f>
      </c>
    </row>
    <row r="170" spans="1:10" x14ac:dyDescent="0.25">
      <c r="A170" s="17"/>
      <c r="B170" s="18"/>
      <c r="C170" s="19"/>
      <c r="D170" s="11"/>
      <c r="E170" s="11"/>
      <c r="F170" s="12"/>
      <c r="G170" s="13">
        <f>IF(C170="","",C170*E170)</f>
      </c>
      <c r="H170" s="13">
        <f>IF(C170="","",C170*D170)</f>
      </c>
      <c r="I170" s="13">
        <f>IF(C170="","",G170*F170)</f>
      </c>
      <c r="J170" s="20">
        <f>IF(C170="","",G170-H170-I170)</f>
      </c>
    </row>
    <row r="171" spans="1:10" x14ac:dyDescent="0.25">
      <c r="A171" s="17"/>
      <c r="B171" s="18"/>
      <c r="C171" s="19"/>
      <c r="D171" s="11"/>
      <c r="E171" s="11"/>
      <c r="F171" s="12"/>
      <c r="G171" s="13">
        <f>IF(C171="","",C171*E171)</f>
      </c>
      <c r="H171" s="13">
        <f>IF(C171="","",C171*D171)</f>
      </c>
      <c r="I171" s="13">
        <f>IF(C171="","",G171*F171)</f>
      </c>
      <c r="J171" s="20">
        <f>IF(C171="","",G171-H171-I171)</f>
      </c>
    </row>
    <row r="172" spans="1:10" x14ac:dyDescent="0.25">
      <c r="A172" s="17"/>
      <c r="B172" s="18"/>
      <c r="C172" s="19"/>
      <c r="D172" s="11"/>
      <c r="E172" s="11"/>
      <c r="F172" s="12"/>
      <c r="G172" s="13">
        <f>IF(C172="","",C172*E172)</f>
      </c>
      <c r="H172" s="13">
        <f>IF(C172="","",C172*D172)</f>
      </c>
      <c r="I172" s="13">
        <f>IF(C172="","",G172*F172)</f>
      </c>
      <c r="J172" s="20">
        <f>IF(C172="","",G172-H172-I172)</f>
      </c>
    </row>
    <row r="173" spans="1:10" x14ac:dyDescent="0.25">
      <c r="A173" s="17"/>
      <c r="B173" s="18"/>
      <c r="C173" s="19"/>
      <c r="D173" s="11"/>
      <c r="E173" s="11"/>
      <c r="F173" s="12"/>
      <c r="G173" s="13">
        <f>IF(C173="","",C173*E173)</f>
      </c>
      <c r="H173" s="13">
        <f>IF(C173="","",C173*D173)</f>
      </c>
      <c r="I173" s="13">
        <f>IF(C173="","",G173*F173)</f>
      </c>
      <c r="J173" s="20">
        <f>IF(C173="","",G173-H173-I173)</f>
      </c>
    </row>
    <row r="174" spans="1:10" x14ac:dyDescent="0.25">
      <c r="A174" s="17"/>
      <c r="B174" s="18"/>
      <c r="C174" s="19"/>
      <c r="D174" s="11"/>
      <c r="E174" s="11"/>
      <c r="F174" s="12"/>
      <c r="G174" s="13">
        <f>IF(C174="","",C174*E174)</f>
      </c>
      <c r="H174" s="13">
        <f>IF(C174="","",C174*D174)</f>
      </c>
      <c r="I174" s="13">
        <f>IF(C174="","",G174*F174)</f>
      </c>
      <c r="J174" s="20">
        <f>IF(C174="","",G174-H174-I174)</f>
      </c>
    </row>
    <row r="175" spans="1:10" x14ac:dyDescent="0.25">
      <c r="A175" s="17"/>
      <c r="B175" s="18"/>
      <c r="C175" s="19"/>
      <c r="D175" s="11"/>
      <c r="E175" s="11"/>
      <c r="F175" s="12"/>
      <c r="G175" s="13">
        <f>IF(C175="","",C175*E175)</f>
      </c>
      <c r="H175" s="13">
        <f>IF(C175="","",C175*D175)</f>
      </c>
      <c r="I175" s="13">
        <f>IF(C175="","",G175*F175)</f>
      </c>
      <c r="J175" s="20">
        <f>IF(C175="","",G175-H175-I175)</f>
      </c>
    </row>
    <row r="176" spans="1:10" x14ac:dyDescent="0.25">
      <c r="A176" s="17"/>
      <c r="B176" s="18"/>
      <c r="C176" s="19"/>
      <c r="D176" s="11"/>
      <c r="E176" s="11"/>
      <c r="F176" s="12"/>
      <c r="G176" s="13">
        <f>IF(C176="","",C176*E176)</f>
      </c>
      <c r="H176" s="13">
        <f>IF(C176="","",C176*D176)</f>
      </c>
      <c r="I176" s="13">
        <f>IF(C176="","",G176*F176)</f>
      </c>
      <c r="J176" s="20">
        <f>IF(C176="","",G176-H176-I176)</f>
      </c>
    </row>
    <row r="177" spans="1:10" x14ac:dyDescent="0.25">
      <c r="A177" s="17"/>
      <c r="B177" s="18"/>
      <c r="C177" s="19"/>
      <c r="D177" s="11"/>
      <c r="E177" s="11"/>
      <c r="F177" s="12"/>
      <c r="G177" s="13">
        <f>IF(C177="","",C177*E177)</f>
      </c>
      <c r="H177" s="13">
        <f>IF(C177="","",C177*D177)</f>
      </c>
      <c r="I177" s="13">
        <f>IF(C177="","",G177*F177)</f>
      </c>
      <c r="J177" s="20">
        <f>IF(C177="","",G177-H177-I177)</f>
      </c>
    </row>
    <row r="178" spans="1:10" x14ac:dyDescent="0.25">
      <c r="A178" s="17"/>
      <c r="B178" s="18"/>
      <c r="C178" s="19"/>
      <c r="D178" s="11"/>
      <c r="E178" s="11"/>
      <c r="F178" s="12"/>
      <c r="G178" s="13">
        <f>IF(C178="","",C178*E178)</f>
      </c>
      <c r="H178" s="13">
        <f>IF(C178="","",C178*D178)</f>
      </c>
      <c r="I178" s="13">
        <f>IF(C178="","",G178*F178)</f>
      </c>
      <c r="J178" s="20">
        <f>IF(C178="","",G178-H178-I178)</f>
      </c>
    </row>
    <row r="179" spans="1:10" x14ac:dyDescent="0.25">
      <c r="A179" s="17"/>
      <c r="B179" s="18"/>
      <c r="C179" s="19"/>
      <c r="D179" s="11"/>
      <c r="E179" s="11"/>
      <c r="F179" s="12"/>
      <c r="G179" s="13">
        <f>IF(C179="","",C179*E179)</f>
      </c>
      <c r="H179" s="13">
        <f>IF(C179="","",C179*D179)</f>
      </c>
      <c r="I179" s="13">
        <f>IF(C179="","",G179*F179)</f>
      </c>
      <c r="J179" s="20">
        <f>IF(C179="","",G179-H179-I179)</f>
      </c>
    </row>
    <row r="180" spans="1:10" x14ac:dyDescent="0.25">
      <c r="A180" s="17"/>
      <c r="B180" s="18"/>
      <c r="C180" s="19"/>
      <c r="D180" s="11"/>
      <c r="E180" s="11"/>
      <c r="F180" s="12"/>
      <c r="G180" s="13">
        <f>IF(C180="","",C180*E180)</f>
      </c>
      <c r="H180" s="13">
        <f>IF(C180="","",C180*D180)</f>
      </c>
      <c r="I180" s="13">
        <f>IF(C180="","",G180*F180)</f>
      </c>
      <c r="J180" s="20">
        <f>IF(C180="","",G180-H180-I180)</f>
      </c>
    </row>
    <row r="181" spans="1:10" x14ac:dyDescent="0.25">
      <c r="A181" s="17"/>
      <c r="B181" s="18"/>
      <c r="C181" s="19"/>
      <c r="D181" s="11"/>
      <c r="E181" s="11"/>
      <c r="F181" s="12"/>
      <c r="G181" s="13">
        <f>IF(C181="","",C181*E181)</f>
      </c>
      <c r="H181" s="13">
        <f>IF(C181="","",C181*D181)</f>
      </c>
      <c r="I181" s="13">
        <f>IF(C181="","",G181*F181)</f>
      </c>
      <c r="J181" s="20">
        <f>IF(C181="","",G181-H181-I181)</f>
      </c>
    </row>
    <row r="182" spans="1:10" x14ac:dyDescent="0.25">
      <c r="A182" s="17"/>
      <c r="B182" s="18"/>
      <c r="C182" s="19"/>
      <c r="D182" s="11"/>
      <c r="E182" s="11"/>
      <c r="F182" s="12"/>
      <c r="G182" s="13">
        <f>IF(C182="","",C182*E182)</f>
      </c>
      <c r="H182" s="13">
        <f>IF(C182="","",C182*D182)</f>
      </c>
      <c r="I182" s="13">
        <f>IF(C182="","",G182*F182)</f>
      </c>
      <c r="J182" s="20">
        <f>IF(C182="","",G182-H182-I182)</f>
      </c>
    </row>
    <row r="183" spans="1:10" x14ac:dyDescent="0.25">
      <c r="A183" s="17"/>
      <c r="B183" s="18"/>
      <c r="C183" s="19"/>
      <c r="D183" s="11"/>
      <c r="E183" s="11"/>
      <c r="F183" s="12"/>
      <c r="G183" s="13">
        <f>IF(C183="","",C183*E183)</f>
      </c>
      <c r="H183" s="13">
        <f>IF(C183="","",C183*D183)</f>
      </c>
      <c r="I183" s="13">
        <f>IF(C183="","",G183*F183)</f>
      </c>
      <c r="J183" s="20">
        <f>IF(C183="","",G183-H183-I183)</f>
      </c>
    </row>
    <row r="184" spans="1:10" x14ac:dyDescent="0.25">
      <c r="A184" s="17"/>
      <c r="B184" s="18"/>
      <c r="C184" s="19"/>
      <c r="D184" s="11"/>
      <c r="E184" s="11"/>
      <c r="F184" s="12"/>
      <c r="G184" s="13">
        <f>IF(C184="","",C184*E184)</f>
      </c>
      <c r="H184" s="13">
        <f>IF(C184="","",C184*D184)</f>
      </c>
      <c r="I184" s="13">
        <f>IF(C184="","",G184*F184)</f>
      </c>
      <c r="J184" s="20">
        <f>IF(C184="","",G184-H184-I184)</f>
      </c>
    </row>
    <row r="185" spans="1:10" x14ac:dyDescent="0.25">
      <c r="A185" s="17"/>
      <c r="B185" s="18"/>
      <c r="C185" s="19"/>
      <c r="D185" s="11"/>
      <c r="E185" s="11"/>
      <c r="F185" s="12"/>
      <c r="G185" s="13">
        <f>IF(C185="","",C185*E185)</f>
      </c>
      <c r="H185" s="13">
        <f>IF(C185="","",C185*D185)</f>
      </c>
      <c r="I185" s="13">
        <f>IF(C185="","",G185*F185)</f>
      </c>
      <c r="J185" s="20">
        <f>IF(C185="","",G185-H185-I185)</f>
      </c>
    </row>
    <row r="186" spans="1:10" x14ac:dyDescent="0.25">
      <c r="A186" s="17"/>
      <c r="B186" s="18"/>
      <c r="C186" s="19"/>
      <c r="D186" s="11"/>
      <c r="E186" s="11"/>
      <c r="F186" s="12"/>
      <c r="G186" s="13">
        <f>IF(C186="","",C186*E186)</f>
      </c>
      <c r="H186" s="13">
        <f>IF(C186="","",C186*D186)</f>
      </c>
      <c r="I186" s="13">
        <f>IF(C186="","",G186*F186)</f>
      </c>
      <c r="J186" s="20">
        <f>IF(C186="","",G186-H186-I186)</f>
      </c>
    </row>
    <row r="187" spans="1:10" x14ac:dyDescent="0.25">
      <c r="A187" s="17"/>
      <c r="B187" s="18"/>
      <c r="C187" s="19"/>
      <c r="D187" s="11"/>
      <c r="E187" s="11"/>
      <c r="F187" s="12"/>
      <c r="G187" s="13">
        <f>IF(C187="","",C187*E187)</f>
      </c>
      <c r="H187" s="13">
        <f>IF(C187="","",C187*D187)</f>
      </c>
      <c r="I187" s="13">
        <f>IF(C187="","",G187*F187)</f>
      </c>
      <c r="J187" s="20">
        <f>IF(C187="","",G187-H187-I187)</f>
      </c>
    </row>
    <row r="188" spans="1:10" x14ac:dyDescent="0.25">
      <c r="A188" s="17"/>
      <c r="B188" s="18"/>
      <c r="C188" s="19"/>
      <c r="D188" s="11"/>
      <c r="E188" s="11"/>
      <c r="F188" s="12"/>
      <c r="G188" s="13">
        <f>IF(C188="","",C188*E188)</f>
      </c>
      <c r="H188" s="13">
        <f>IF(C188="","",C188*D188)</f>
      </c>
      <c r="I188" s="13">
        <f>IF(C188="","",G188*F188)</f>
      </c>
      <c r="J188" s="20">
        <f>IF(C188="","",G188-H188-I188)</f>
      </c>
    </row>
    <row r="189" spans="1:10" x14ac:dyDescent="0.25">
      <c r="A189" s="17"/>
      <c r="B189" s="18"/>
      <c r="C189" s="19"/>
      <c r="D189" s="11"/>
      <c r="E189" s="11"/>
      <c r="F189" s="12"/>
      <c r="G189" s="13">
        <f>IF(C189="","",C189*E189)</f>
      </c>
      <c r="H189" s="13">
        <f>IF(C189="","",C189*D189)</f>
      </c>
      <c r="I189" s="13">
        <f>IF(C189="","",G189*F189)</f>
      </c>
      <c r="J189" s="20">
        <f>IF(C189="","",G189-H189-I189)</f>
      </c>
    </row>
    <row r="190" spans="1:10" x14ac:dyDescent="0.25">
      <c r="A190" s="17"/>
      <c r="B190" s="18"/>
      <c r="C190" s="19"/>
      <c r="D190" s="11"/>
      <c r="E190" s="11"/>
      <c r="F190" s="12"/>
      <c r="G190" s="13">
        <f>IF(C190="","",C190*E190)</f>
      </c>
      <c r="H190" s="13">
        <f>IF(C190="","",C190*D190)</f>
      </c>
      <c r="I190" s="13">
        <f>IF(C190="","",G190*F190)</f>
      </c>
      <c r="J190" s="20">
        <f>IF(C190="","",G190-H190-I190)</f>
      </c>
    </row>
    <row r="191" spans="1:10" x14ac:dyDescent="0.25">
      <c r="A191" s="17"/>
      <c r="B191" s="18"/>
      <c r="C191" s="19"/>
      <c r="D191" s="11"/>
      <c r="E191" s="11"/>
      <c r="F191" s="12"/>
      <c r="G191" s="13">
        <f>IF(C191="","",C191*E191)</f>
      </c>
      <c r="H191" s="13">
        <f>IF(C191="","",C191*D191)</f>
      </c>
      <c r="I191" s="13">
        <f>IF(C191="","",G191*F191)</f>
      </c>
      <c r="J191" s="20">
        <f>IF(C191="","",G191-H191-I191)</f>
      </c>
    </row>
    <row r="192" spans="1:10" x14ac:dyDescent="0.25">
      <c r="A192" s="17"/>
      <c r="B192" s="18"/>
      <c r="C192" s="19"/>
      <c r="D192" s="11"/>
      <c r="E192" s="11"/>
      <c r="F192" s="12"/>
      <c r="G192" s="13">
        <f>IF(C192="","",C192*E192)</f>
      </c>
      <c r="H192" s="13">
        <f>IF(C192="","",C192*D192)</f>
      </c>
      <c r="I192" s="13">
        <f>IF(C192="","",G192*F192)</f>
      </c>
      <c r="J192" s="20">
        <f>IF(C192="","",G192-H192-I192)</f>
      </c>
    </row>
    <row r="193" spans="1:10" x14ac:dyDescent="0.25">
      <c r="A193" s="17"/>
      <c r="B193" s="18"/>
      <c r="C193" s="19"/>
      <c r="D193" s="11"/>
      <c r="E193" s="11"/>
      <c r="F193" s="12"/>
      <c r="G193" s="13">
        <f>IF(C193="","",C193*E193)</f>
      </c>
      <c r="H193" s="13">
        <f>IF(C193="","",C193*D193)</f>
      </c>
      <c r="I193" s="13">
        <f>IF(C193="","",G193*F193)</f>
      </c>
      <c r="J193" s="20">
        <f>IF(C193="","",G193-H193-I193)</f>
      </c>
    </row>
    <row r="194" spans="1:10" x14ac:dyDescent="0.25">
      <c r="A194" s="17"/>
      <c r="B194" s="18"/>
      <c r="C194" s="19"/>
      <c r="D194" s="11"/>
      <c r="E194" s="11"/>
      <c r="F194" s="12"/>
      <c r="G194" s="13">
        <f>IF(C194="","",C194*E194)</f>
      </c>
      <c r="H194" s="13">
        <f>IF(C194="","",C194*D194)</f>
      </c>
      <c r="I194" s="13">
        <f>IF(C194="","",G194*F194)</f>
      </c>
      <c r="J194" s="20">
        <f>IF(C194="","",G194-H194-I194)</f>
      </c>
    </row>
    <row r="195" spans="1:10" x14ac:dyDescent="0.25">
      <c r="A195" s="17"/>
      <c r="B195" s="18"/>
      <c r="C195" s="19"/>
      <c r="D195" s="11"/>
      <c r="E195" s="11"/>
      <c r="F195" s="12"/>
      <c r="G195" s="13">
        <f>IF(C195="","",C195*E195)</f>
      </c>
      <c r="H195" s="13">
        <f>IF(C195="","",C195*D195)</f>
      </c>
      <c r="I195" s="13">
        <f>IF(C195="","",G195*F195)</f>
      </c>
      <c r="J195" s="20">
        <f>IF(C195="","",G195-H195-I195)</f>
      </c>
    </row>
    <row r="196" spans="1:10" x14ac:dyDescent="0.25">
      <c r="A196" s="17"/>
      <c r="B196" s="18"/>
      <c r="C196" s="19"/>
      <c r="D196" s="11"/>
      <c r="E196" s="11"/>
      <c r="F196" s="12"/>
      <c r="G196" s="13">
        <f>IF(C196="","",C196*E196)</f>
      </c>
      <c r="H196" s="13">
        <f>IF(C196="","",C196*D196)</f>
      </c>
      <c r="I196" s="13">
        <f>IF(C196="","",G196*F196)</f>
      </c>
      <c r="J196" s="20">
        <f>IF(C196="","",G196-H196-I196)</f>
      </c>
    </row>
    <row r="197" spans="1:10" x14ac:dyDescent="0.25">
      <c r="A197" s="17"/>
      <c r="B197" s="18"/>
      <c r="C197" s="19"/>
      <c r="D197" s="11"/>
      <c r="E197" s="11"/>
      <c r="F197" s="12"/>
      <c r="G197" s="13">
        <f>IF(C197="","",C197*E197)</f>
      </c>
      <c r="H197" s="13">
        <f>IF(C197="","",C197*D197)</f>
      </c>
      <c r="I197" s="13">
        <f>IF(C197="","",G197*F197)</f>
      </c>
      <c r="J197" s="20">
        <f>IF(C197="","",G197-H197-I197)</f>
      </c>
    </row>
    <row r="198" spans="1:10" x14ac:dyDescent="0.25">
      <c r="A198" s="17"/>
      <c r="B198" s="18"/>
      <c r="C198" s="19"/>
      <c r="D198" s="11"/>
      <c r="E198" s="11"/>
      <c r="F198" s="12"/>
      <c r="G198" s="13">
        <f>IF(C198="","",C198*E198)</f>
      </c>
      <c r="H198" s="13">
        <f>IF(C198="","",C198*D198)</f>
      </c>
      <c r="I198" s="13">
        <f>IF(C198="","",G198*F198)</f>
      </c>
      <c r="J198" s="20">
        <f>IF(C198="","",G198-H198-I198)</f>
      </c>
    </row>
    <row r="199" spans="1:10" x14ac:dyDescent="0.25">
      <c r="A199" s="17"/>
      <c r="B199" s="18"/>
      <c r="C199" s="19"/>
      <c r="D199" s="11"/>
      <c r="E199" s="11"/>
      <c r="F199" s="12"/>
      <c r="G199" s="13">
        <f>IF(C199="","",C199*E199)</f>
      </c>
      <c r="H199" s="13">
        <f>IF(C199="","",C199*D199)</f>
      </c>
      <c r="I199" s="13">
        <f>IF(C199="","",G199*F199)</f>
      </c>
      <c r="J199" s="20">
        <f>IF(C199="","",G199-H199-I199)</f>
      </c>
    </row>
    <row r="200" spans="1:10" x14ac:dyDescent="0.25">
      <c r="A200" s="17"/>
      <c r="B200" s="18"/>
      <c r="C200" s="19"/>
      <c r="D200" s="11"/>
      <c r="E200" s="11"/>
      <c r="F200" s="12"/>
      <c r="G200" s="13">
        <f>IF(C200="","",C200*E200)</f>
      </c>
      <c r="H200" s="13">
        <f>IF(C200="","",C200*D200)</f>
      </c>
      <c r="I200" s="13">
        <f>IF(C200="","",G200*F200)</f>
      </c>
      <c r="J200" s="20">
        <f>IF(C200="","",G200-H200-I200)</f>
      </c>
    </row>
    <row r="201" spans="1:10" x14ac:dyDescent="0.25">
      <c r="A201" s="17"/>
      <c r="B201" s="18"/>
      <c r="C201" s="19"/>
      <c r="D201" s="11"/>
      <c r="E201" s="11"/>
      <c r="F201" s="12"/>
      <c r="G201" s="13">
        <f>IF(C201="","",C201*E201)</f>
      </c>
      <c r="H201" s="13">
        <f>IF(C201="","",C201*D201)</f>
      </c>
      <c r="I201" s="13">
        <f>IF(C201="","",G201*F201)</f>
      </c>
      <c r="J201" s="20">
        <f>IF(C201="","",G201-H201-I201)</f>
      </c>
    </row>
    <row r="202" spans="1:10" x14ac:dyDescent="0.25">
      <c r="A202" s="17"/>
      <c r="B202" s="18"/>
      <c r="C202" s="19"/>
      <c r="D202" s="11"/>
      <c r="E202" s="11"/>
      <c r="F202" s="12"/>
      <c r="G202" s="13">
        <f>IF(C202="","",C202*E202)</f>
      </c>
      <c r="H202" s="13">
        <f>IF(C202="","",C202*D202)</f>
      </c>
      <c r="I202" s="13">
        <f>IF(C202="","",G202*F202)</f>
      </c>
      <c r="J202" s="20">
        <f>IF(C202="","",G202-H202-I202)</f>
      </c>
    </row>
    <row r="203" spans="1:10" x14ac:dyDescent="0.25">
      <c r="A203" s="21"/>
      <c r="B203" s="22" t="s">
        <v>39</v>
      </c>
      <c r="C203" s="21"/>
      <c r="D203" s="21"/>
      <c r="E203" s="21"/>
      <c r="F203" s="21"/>
      <c r="G203" s="23">
        <f>SUM(G3:G202)</f>
      </c>
      <c r="H203" s="23">
        <f>SUM(H3:H202)</f>
      </c>
      <c r="I203" s="23">
        <f>SUM(I3:I202)</f>
      </c>
      <c r="J203" s="23">
        <f>SUM(J3:J202)</f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1" customWidth="1"/>
    <col min="3" max="3" width="12" customWidth="1"/>
    <col min="4" max="6" width="11" customWidth="1"/>
    <col min="7" max="7" width="16" customWidth="1"/>
  </cols>
  <sheetData>
    <row r="1" spans="1:7" x14ac:dyDescent="0.25">
      <c r="A1" s="8" t="s">
        <v>40</v>
      </c>
      <c r="B1" s="8"/>
      <c r="C1" s="8"/>
      <c r="D1" s="8"/>
      <c r="E1" s="8"/>
      <c r="F1" s="8"/>
      <c r="G1" s="8"/>
    </row>
    <row r="2" ht="32" customHeight="1" spans="1:7" x14ac:dyDescent="0.25">
      <c r="A2" s="9" t="s">
        <v>16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</row>
    <row r="3" spans="1:7" x14ac:dyDescent="0.25">
      <c r="A3" s="18"/>
      <c r="B3" s="19"/>
      <c r="C3" s="19"/>
      <c r="D3" s="19"/>
      <c r="E3" s="24">
        <f>IF(A3="","",B3+C3-D3)</f>
      </c>
      <c r="F3" s="19"/>
      <c r="G3" s="25">
        <f>IF(A3="","",IF(E3&lt;=F3,"⚠ REPOR","OK"))</f>
      </c>
    </row>
    <row r="4" spans="1:7" x14ac:dyDescent="0.25">
      <c r="A4" s="18"/>
      <c r="B4" s="19"/>
      <c r="C4" s="19"/>
      <c r="D4" s="19"/>
      <c r="E4" s="24">
        <f>IF(A4="","",B4+C4-D4)</f>
      </c>
      <c r="F4" s="19"/>
      <c r="G4" s="25">
        <f>IF(A4="","",IF(E4&lt;=F4,"⚠ REPOR","OK"))</f>
      </c>
    </row>
    <row r="5" spans="1:7" x14ac:dyDescent="0.25">
      <c r="A5" s="18"/>
      <c r="B5" s="19"/>
      <c r="C5" s="19"/>
      <c r="D5" s="19"/>
      <c r="E5" s="24">
        <f>IF(A5="","",B5+C5-D5)</f>
      </c>
      <c r="F5" s="19"/>
      <c r="G5" s="25">
        <f>IF(A5="","",IF(E5&lt;=F5,"⚠ REPOR","OK"))</f>
      </c>
    </row>
    <row r="6" spans="1:7" x14ac:dyDescent="0.25">
      <c r="A6" s="18"/>
      <c r="B6" s="19"/>
      <c r="C6" s="19"/>
      <c r="D6" s="19"/>
      <c r="E6" s="24">
        <f>IF(A6="","",B6+C6-D6)</f>
      </c>
      <c r="F6" s="19"/>
      <c r="G6" s="25">
        <f>IF(A6="","",IF(E6&lt;=F6,"⚠ REPOR","OK"))</f>
      </c>
    </row>
    <row r="7" spans="1:7" x14ac:dyDescent="0.25">
      <c r="A7" s="18"/>
      <c r="B7" s="19"/>
      <c r="C7" s="19"/>
      <c r="D7" s="19"/>
      <c r="E7" s="24">
        <f>IF(A7="","",B7+C7-D7)</f>
      </c>
      <c r="F7" s="19"/>
      <c r="G7" s="25">
        <f>IF(A7="","",IF(E7&lt;=F7,"⚠ REPOR","OK"))</f>
      </c>
    </row>
    <row r="8" spans="1:7" x14ac:dyDescent="0.25">
      <c r="A8" s="18"/>
      <c r="B8" s="19"/>
      <c r="C8" s="19"/>
      <c r="D8" s="19"/>
      <c r="E8" s="24">
        <f>IF(A8="","",B8+C8-D8)</f>
      </c>
      <c r="F8" s="19"/>
      <c r="G8" s="25">
        <f>IF(A8="","",IF(E8&lt;=F8,"⚠ REPOR","OK"))</f>
      </c>
    </row>
    <row r="9" spans="1:7" x14ac:dyDescent="0.25">
      <c r="A9" s="18"/>
      <c r="B9" s="19"/>
      <c r="C9" s="19"/>
      <c r="D9" s="19"/>
      <c r="E9" s="24">
        <f>IF(A9="","",B9+C9-D9)</f>
      </c>
      <c r="F9" s="19"/>
      <c r="G9" s="25">
        <f>IF(A9="","",IF(E9&lt;=F9,"⚠ REPOR","OK"))</f>
      </c>
    </row>
    <row r="10" spans="1:7" x14ac:dyDescent="0.25">
      <c r="A10" s="18"/>
      <c r="B10" s="19"/>
      <c r="C10" s="19"/>
      <c r="D10" s="19"/>
      <c r="E10" s="24">
        <f>IF(A10="","",B10+C10-D10)</f>
      </c>
      <c r="F10" s="19"/>
      <c r="G10" s="25">
        <f>IF(A10="","",IF(E10&lt;=F10,"⚠ REPOR","OK"))</f>
      </c>
    </row>
    <row r="11" spans="1:7" x14ac:dyDescent="0.25">
      <c r="A11" s="18"/>
      <c r="B11" s="19"/>
      <c r="C11" s="19"/>
      <c r="D11" s="19"/>
      <c r="E11" s="24">
        <f>IF(A11="","",B11+C11-D11)</f>
      </c>
      <c r="F11" s="19"/>
      <c r="G11" s="25">
        <f>IF(A11="","",IF(E11&lt;=F11,"⚠ REPOR","OK"))</f>
      </c>
    </row>
    <row r="12" spans="1:7" x14ac:dyDescent="0.25">
      <c r="A12" s="18"/>
      <c r="B12" s="19"/>
      <c r="C12" s="19"/>
      <c r="D12" s="19"/>
      <c r="E12" s="24">
        <f>IF(A12="","",B12+C12-D12)</f>
      </c>
      <c r="F12" s="19"/>
      <c r="G12" s="25">
        <f>IF(A12="","",IF(E12&lt;=F12,"⚠ REPOR","OK"))</f>
      </c>
    </row>
    <row r="13" spans="1:7" x14ac:dyDescent="0.25">
      <c r="A13" s="18"/>
      <c r="B13" s="19"/>
      <c r="C13" s="19"/>
      <c r="D13" s="19"/>
      <c r="E13" s="24">
        <f>IF(A13="","",B13+C13-D13)</f>
      </c>
      <c r="F13" s="19"/>
      <c r="G13" s="25">
        <f>IF(A13="","",IF(E13&lt;=F13,"⚠ REPOR","OK"))</f>
      </c>
    </row>
    <row r="14" spans="1:7" x14ac:dyDescent="0.25">
      <c r="A14" s="18"/>
      <c r="B14" s="19"/>
      <c r="C14" s="19"/>
      <c r="D14" s="19"/>
      <c r="E14" s="24">
        <f>IF(A14="","",B14+C14-D14)</f>
      </c>
      <c r="F14" s="19"/>
      <c r="G14" s="25">
        <f>IF(A14="","",IF(E14&lt;=F14,"⚠ REPOR","OK"))</f>
      </c>
    </row>
    <row r="15" spans="1:7" x14ac:dyDescent="0.25">
      <c r="A15" s="18"/>
      <c r="B15" s="19"/>
      <c r="C15" s="19"/>
      <c r="D15" s="19"/>
      <c r="E15" s="24">
        <f>IF(A15="","",B15+C15-D15)</f>
      </c>
      <c r="F15" s="19"/>
      <c r="G15" s="25">
        <f>IF(A15="","",IF(E15&lt;=F15,"⚠ REPOR","OK"))</f>
      </c>
    </row>
    <row r="16" spans="1:7" x14ac:dyDescent="0.25">
      <c r="A16" s="18"/>
      <c r="B16" s="19"/>
      <c r="C16" s="19"/>
      <c r="D16" s="19"/>
      <c r="E16" s="24">
        <f>IF(A16="","",B16+C16-D16)</f>
      </c>
      <c r="F16" s="19"/>
      <c r="G16" s="25">
        <f>IF(A16="","",IF(E16&lt;=F16,"⚠ REPOR","OK"))</f>
      </c>
    </row>
    <row r="17" spans="1:7" x14ac:dyDescent="0.25">
      <c r="A17" s="18"/>
      <c r="B17" s="19"/>
      <c r="C17" s="19"/>
      <c r="D17" s="19"/>
      <c r="E17" s="24">
        <f>IF(A17="","",B17+C17-D17)</f>
      </c>
      <c r="F17" s="19"/>
      <c r="G17" s="25">
        <f>IF(A17="","",IF(E17&lt;=F17,"⚠ REPOR","OK"))</f>
      </c>
    </row>
    <row r="18" spans="1:7" x14ac:dyDescent="0.25">
      <c r="A18" s="18"/>
      <c r="B18" s="19"/>
      <c r="C18" s="19"/>
      <c r="D18" s="19"/>
      <c r="E18" s="24">
        <f>IF(A18="","",B18+C18-D18)</f>
      </c>
      <c r="F18" s="19"/>
      <c r="G18" s="25">
        <f>IF(A18="","",IF(E18&lt;=F18,"⚠ REPOR","OK"))</f>
      </c>
    </row>
    <row r="19" spans="1:7" x14ac:dyDescent="0.25">
      <c r="A19" s="18"/>
      <c r="B19" s="19"/>
      <c r="C19" s="19"/>
      <c r="D19" s="19"/>
      <c r="E19" s="24">
        <f>IF(A19="","",B19+C19-D19)</f>
      </c>
      <c r="F19" s="19"/>
      <c r="G19" s="25">
        <f>IF(A19="","",IF(E19&lt;=F19,"⚠ REPOR","OK"))</f>
      </c>
    </row>
    <row r="20" spans="1:7" x14ac:dyDescent="0.25">
      <c r="A20" s="18"/>
      <c r="B20" s="19"/>
      <c r="C20" s="19"/>
      <c r="D20" s="19"/>
      <c r="E20" s="24">
        <f>IF(A20="","",B20+C20-D20)</f>
      </c>
      <c r="F20" s="19"/>
      <c r="G20" s="25">
        <f>IF(A20="","",IF(E20&lt;=F20,"⚠ REPOR","OK"))</f>
      </c>
    </row>
    <row r="21" spans="1:7" x14ac:dyDescent="0.25">
      <c r="A21" s="18"/>
      <c r="B21" s="19"/>
      <c r="C21" s="19"/>
      <c r="D21" s="19"/>
      <c r="E21" s="24">
        <f>IF(A21="","",B21+C21-D21)</f>
      </c>
      <c r="F21" s="19"/>
      <c r="G21" s="25">
        <f>IF(A21="","",IF(E21&lt;=F21,"⚠ REPOR","OK"))</f>
      </c>
    </row>
    <row r="22" spans="1:7" x14ac:dyDescent="0.25">
      <c r="A22" s="18"/>
      <c r="B22" s="19"/>
      <c r="C22" s="19"/>
      <c r="D22" s="19"/>
      <c r="E22" s="24">
        <f>IF(A22="","",B22+C22-D22)</f>
      </c>
      <c r="F22" s="19"/>
      <c r="G22" s="25">
        <f>IF(A22="","",IF(E22&lt;=F22,"⚠ REPOR","OK"))</f>
      </c>
    </row>
    <row r="23" spans="1:7" x14ac:dyDescent="0.25">
      <c r="A23" s="18"/>
      <c r="B23" s="19"/>
      <c r="C23" s="19"/>
      <c r="D23" s="19"/>
      <c r="E23" s="24">
        <f>IF(A23="","",B23+C23-D23)</f>
      </c>
      <c r="F23" s="19"/>
      <c r="G23" s="25">
        <f>IF(A23="","",IF(E23&lt;=F23,"⚠ REPOR","OK"))</f>
      </c>
    </row>
    <row r="24" spans="1:7" x14ac:dyDescent="0.25">
      <c r="A24" s="18"/>
      <c r="B24" s="19"/>
      <c r="C24" s="19"/>
      <c r="D24" s="19"/>
      <c r="E24" s="24">
        <f>IF(A24="","",B24+C24-D24)</f>
      </c>
      <c r="F24" s="19"/>
      <c r="G24" s="25">
        <f>IF(A24="","",IF(E24&lt;=F24,"⚠ REPOR","OK"))</f>
      </c>
    </row>
    <row r="25" spans="1:7" x14ac:dyDescent="0.25">
      <c r="A25" s="18"/>
      <c r="B25" s="19"/>
      <c r="C25" s="19"/>
      <c r="D25" s="19"/>
      <c r="E25" s="24">
        <f>IF(A25="","",B25+C25-D25)</f>
      </c>
      <c r="F25" s="19"/>
      <c r="G25" s="25">
        <f>IF(A25="","",IF(E25&lt;=F25,"⚠ REPOR","OK"))</f>
      </c>
    </row>
    <row r="26" spans="1:7" x14ac:dyDescent="0.25">
      <c r="A26" s="18"/>
      <c r="B26" s="19"/>
      <c r="C26" s="19"/>
      <c r="D26" s="19"/>
      <c r="E26" s="24">
        <f>IF(A26="","",B26+C26-D26)</f>
      </c>
      <c r="F26" s="19"/>
      <c r="G26" s="25">
        <f>IF(A26="","",IF(E26&lt;=F26,"⚠ REPOR","OK"))</f>
      </c>
    </row>
    <row r="27" spans="1:7" x14ac:dyDescent="0.25">
      <c r="A27" s="18"/>
      <c r="B27" s="19"/>
      <c r="C27" s="19"/>
      <c r="D27" s="19"/>
      <c r="E27" s="24">
        <f>IF(A27="","",B27+C27-D27)</f>
      </c>
      <c r="F27" s="19"/>
      <c r="G27" s="25">
        <f>IF(A27="","",IF(E27&lt;=F27,"⚠ REPOR","OK"))</f>
      </c>
    </row>
    <row r="28" spans="1:7" x14ac:dyDescent="0.25">
      <c r="A28" s="18"/>
      <c r="B28" s="19"/>
      <c r="C28" s="19"/>
      <c r="D28" s="19"/>
      <c r="E28" s="24">
        <f>IF(A28="","",B28+C28-D28)</f>
      </c>
      <c r="F28" s="19"/>
      <c r="G28" s="25">
        <f>IF(A28="","",IF(E28&lt;=F28,"⚠ REPOR","OK"))</f>
      </c>
    </row>
    <row r="29" spans="1:7" x14ac:dyDescent="0.25">
      <c r="A29" s="18"/>
      <c r="B29" s="19"/>
      <c r="C29" s="19"/>
      <c r="D29" s="19"/>
      <c r="E29" s="24">
        <f>IF(A29="","",B29+C29-D29)</f>
      </c>
      <c r="F29" s="19"/>
      <c r="G29" s="25">
        <f>IF(A29="","",IF(E29&lt;=F29,"⚠ REPOR","OK"))</f>
      </c>
    </row>
    <row r="30" spans="1:7" x14ac:dyDescent="0.25">
      <c r="A30" s="18"/>
      <c r="B30" s="19"/>
      <c r="C30" s="19"/>
      <c r="D30" s="19"/>
      <c r="E30" s="24">
        <f>IF(A30="","",B30+C30-D30)</f>
      </c>
      <c r="F30" s="19"/>
      <c r="G30" s="25">
        <f>IF(A30="","",IF(E30&lt;=F30,"⚠ REPOR","OK"))</f>
      </c>
    </row>
    <row r="31" spans="1:7" x14ac:dyDescent="0.25">
      <c r="A31" s="18"/>
      <c r="B31" s="19"/>
      <c r="C31" s="19"/>
      <c r="D31" s="19"/>
      <c r="E31" s="24">
        <f>IF(A31="","",B31+C31-D31)</f>
      </c>
      <c r="F31" s="19"/>
      <c r="G31" s="25">
        <f>IF(A31="","",IF(E31&lt;=F31,"⚠ REPOR","OK"))</f>
      </c>
    </row>
    <row r="32" spans="1:7" x14ac:dyDescent="0.25">
      <c r="A32" s="18"/>
      <c r="B32" s="19"/>
      <c r="C32" s="19"/>
      <c r="D32" s="19"/>
      <c r="E32" s="24">
        <f>IF(A32="","",B32+C32-D32)</f>
      </c>
      <c r="F32" s="19"/>
      <c r="G32" s="25">
        <f>IF(A32="","",IF(E32&lt;=F32,"⚠ REPOR","OK"))</f>
      </c>
    </row>
    <row r="33" spans="1:7" x14ac:dyDescent="0.25">
      <c r="A33" s="18"/>
      <c r="B33" s="19"/>
      <c r="C33" s="19"/>
      <c r="D33" s="19"/>
      <c r="E33" s="24">
        <f>IF(A33="","",B33+C33-D33)</f>
      </c>
      <c r="F33" s="19"/>
      <c r="G33" s="25">
        <f>IF(A33="","",IF(E33&lt;=F33,"⚠ REPOR","OK"))</f>
      </c>
    </row>
    <row r="34" spans="1:7" x14ac:dyDescent="0.25">
      <c r="A34" s="18"/>
      <c r="B34" s="19"/>
      <c r="C34" s="19"/>
      <c r="D34" s="19"/>
      <c r="E34" s="24">
        <f>IF(A34="","",B34+C34-D34)</f>
      </c>
      <c r="F34" s="19"/>
      <c r="G34" s="25">
        <f>IF(A34="","",IF(E34&lt;=F34,"⚠ REPOR","OK"))</f>
      </c>
    </row>
    <row r="35" spans="1:7" x14ac:dyDescent="0.25">
      <c r="A35" s="18"/>
      <c r="B35" s="19"/>
      <c r="C35" s="19"/>
      <c r="D35" s="19"/>
      <c r="E35" s="24">
        <f>IF(A35="","",B35+C35-D35)</f>
      </c>
      <c r="F35" s="19"/>
      <c r="G35" s="25">
        <f>IF(A35="","",IF(E35&lt;=F35,"⚠ REPOR","OK"))</f>
      </c>
    </row>
    <row r="36" spans="1:7" x14ac:dyDescent="0.25">
      <c r="A36" s="18"/>
      <c r="B36" s="19"/>
      <c r="C36" s="19"/>
      <c r="D36" s="19"/>
      <c r="E36" s="24">
        <f>IF(A36="","",B36+C36-D36)</f>
      </c>
      <c r="F36" s="19"/>
      <c r="G36" s="25">
        <f>IF(A36="","",IF(E36&lt;=F36,"⚠ REPOR","OK"))</f>
      </c>
    </row>
    <row r="37" spans="1:7" x14ac:dyDescent="0.25">
      <c r="A37" s="18"/>
      <c r="B37" s="19"/>
      <c r="C37" s="19"/>
      <c r="D37" s="19"/>
      <c r="E37" s="24">
        <f>IF(A37="","",B37+C37-D37)</f>
      </c>
      <c r="F37" s="19"/>
      <c r="G37" s="25">
        <f>IF(A37="","",IF(E37&lt;=F37,"⚠ REPOR","OK"))</f>
      </c>
    </row>
    <row r="38" spans="1:7" x14ac:dyDescent="0.25">
      <c r="A38" s="18"/>
      <c r="B38" s="19"/>
      <c r="C38" s="19"/>
      <c r="D38" s="19"/>
      <c r="E38" s="24">
        <f>IF(A38="","",B38+C38-D38)</f>
      </c>
      <c r="F38" s="19"/>
      <c r="G38" s="25">
        <f>IF(A38="","",IF(E38&lt;=F38,"⚠ REPOR","OK"))</f>
      </c>
    </row>
    <row r="39" spans="1:7" x14ac:dyDescent="0.25">
      <c r="A39" s="18"/>
      <c r="B39" s="19"/>
      <c r="C39" s="19"/>
      <c r="D39" s="19"/>
      <c r="E39" s="24">
        <f>IF(A39="","",B39+C39-D39)</f>
      </c>
      <c r="F39" s="19"/>
      <c r="G39" s="25">
        <f>IF(A39="","",IF(E39&lt;=F39,"⚠ REPOR","OK"))</f>
      </c>
    </row>
    <row r="40" spans="1:7" x14ac:dyDescent="0.25">
      <c r="A40" s="18"/>
      <c r="B40" s="19"/>
      <c r="C40" s="19"/>
      <c r="D40" s="19"/>
      <c r="E40" s="24">
        <f>IF(A40="","",B40+C40-D40)</f>
      </c>
      <c r="F40" s="19"/>
      <c r="G40" s="25">
        <f>IF(A40="","",IF(E40&lt;=F40,"⚠ REPOR","OK"))</f>
      </c>
    </row>
    <row r="41" spans="1:7" x14ac:dyDescent="0.25">
      <c r="A41" s="18"/>
      <c r="B41" s="19"/>
      <c r="C41" s="19"/>
      <c r="D41" s="19"/>
      <c r="E41" s="24">
        <f>IF(A41="","",B41+C41-D41)</f>
      </c>
      <c r="F41" s="19"/>
      <c r="G41" s="25">
        <f>IF(A41="","",IF(E41&lt;=F41,"⚠ REPOR","OK"))</f>
      </c>
    </row>
    <row r="42" spans="1:7" x14ac:dyDescent="0.25">
      <c r="A42" s="18"/>
      <c r="B42" s="19"/>
      <c r="C42" s="19"/>
      <c r="D42" s="19"/>
      <c r="E42" s="24">
        <f>IF(A42="","",B42+C42-D42)</f>
      </c>
      <c r="F42" s="19"/>
      <c r="G42" s="25">
        <f>IF(A42="","",IF(E42&lt;=F42,"⚠ REPOR","OK"))</f>
      </c>
    </row>
    <row r="43" spans="1:7" x14ac:dyDescent="0.25">
      <c r="A43" s="18"/>
      <c r="B43" s="19"/>
      <c r="C43" s="19"/>
      <c r="D43" s="19"/>
      <c r="E43" s="24">
        <f>IF(A43="","",B43+C43-D43)</f>
      </c>
      <c r="F43" s="19"/>
      <c r="G43" s="25">
        <f>IF(A43="","",IF(E43&lt;=F43,"⚠ REPOR","OK"))</f>
      </c>
    </row>
    <row r="44" spans="1:7" x14ac:dyDescent="0.25">
      <c r="A44" s="18"/>
      <c r="B44" s="19"/>
      <c r="C44" s="19"/>
      <c r="D44" s="19"/>
      <c r="E44" s="24">
        <f>IF(A44="","",B44+C44-D44)</f>
      </c>
      <c r="F44" s="19"/>
      <c r="G44" s="25">
        <f>IF(A44="","",IF(E44&lt;=F44,"⚠ REPOR","OK"))</f>
      </c>
    </row>
    <row r="45" spans="1:7" x14ac:dyDescent="0.25">
      <c r="A45" s="18"/>
      <c r="B45" s="19"/>
      <c r="C45" s="19"/>
      <c r="D45" s="19"/>
      <c r="E45" s="24">
        <f>IF(A45="","",B45+C45-D45)</f>
      </c>
      <c r="F45" s="19"/>
      <c r="G45" s="25">
        <f>IF(A45="","",IF(E45&lt;=F45,"⚠ REPOR","OK"))</f>
      </c>
    </row>
    <row r="46" spans="1:7" x14ac:dyDescent="0.25">
      <c r="A46" s="18"/>
      <c r="B46" s="19"/>
      <c r="C46" s="19"/>
      <c r="D46" s="19"/>
      <c r="E46" s="24">
        <f>IF(A46="","",B46+C46-D46)</f>
      </c>
      <c r="F46" s="19"/>
      <c r="G46" s="25">
        <f>IF(A46="","",IF(E46&lt;=F46,"⚠ REPOR","OK"))</f>
      </c>
    </row>
    <row r="47" spans="1:7" x14ac:dyDescent="0.25">
      <c r="A47" s="18"/>
      <c r="B47" s="19"/>
      <c r="C47" s="19"/>
      <c r="D47" s="19"/>
      <c r="E47" s="24">
        <f>IF(A47="","",B47+C47-D47)</f>
      </c>
      <c r="F47" s="19"/>
      <c r="G47" s="25">
        <f>IF(A47="","",IF(E47&lt;=F47,"⚠ REPOR","OK"))</f>
      </c>
    </row>
    <row r="48" spans="1:7" x14ac:dyDescent="0.25">
      <c r="A48" s="18"/>
      <c r="B48" s="19"/>
      <c r="C48" s="19"/>
      <c r="D48" s="19"/>
      <c r="E48" s="24">
        <f>IF(A48="","",B48+C48-D48)</f>
      </c>
      <c r="F48" s="19"/>
      <c r="G48" s="25">
        <f>IF(A48="","",IF(E48&lt;=F48,"⚠ REPOR","OK"))</f>
      </c>
    </row>
    <row r="49" spans="1:7" x14ac:dyDescent="0.25">
      <c r="A49" s="18"/>
      <c r="B49" s="19"/>
      <c r="C49" s="19"/>
      <c r="D49" s="19"/>
      <c r="E49" s="24">
        <f>IF(A49="","",B49+C49-D49)</f>
      </c>
      <c r="F49" s="19"/>
      <c r="G49" s="25">
        <f>IF(A49="","",IF(E49&lt;=F49,"⚠ REPOR","OK"))</f>
      </c>
    </row>
    <row r="50" spans="1:7" x14ac:dyDescent="0.25">
      <c r="A50" s="18"/>
      <c r="B50" s="19"/>
      <c r="C50" s="19"/>
      <c r="D50" s="19"/>
      <c r="E50" s="24">
        <f>IF(A50="","",B50+C50-D50)</f>
      </c>
      <c r="F50" s="19"/>
      <c r="G50" s="25">
        <f>IF(A50="","",IF(E50&lt;=F50,"⚠ REPOR","OK"))</f>
      </c>
    </row>
    <row r="51" spans="1:7" x14ac:dyDescent="0.25">
      <c r="A51" s="18"/>
      <c r="B51" s="19"/>
      <c r="C51" s="19"/>
      <c r="D51" s="19"/>
      <c r="E51" s="24">
        <f>IF(A51="","",B51+C51-D51)</f>
      </c>
      <c r="F51" s="19"/>
      <c r="G51" s="25">
        <f>IF(A51="","",IF(E51&lt;=F51,"⚠ REPOR","OK"))</f>
      </c>
    </row>
    <row r="52" spans="1:7" x14ac:dyDescent="0.25">
      <c r="A52" s="18"/>
      <c r="B52" s="19"/>
      <c r="C52" s="19"/>
      <c r="D52" s="19"/>
      <c r="E52" s="24">
        <f>IF(A52="","",B52+C52-D52)</f>
      </c>
      <c r="F52" s="19"/>
      <c r="G52" s="25">
        <f>IF(A52="","",IF(E52&lt;=F52,"⚠ REPOR","OK"))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34" customWidth="1"/>
    <col min="3" max="3" width="22" customWidth="1"/>
  </cols>
  <sheetData>
    <row r="2" spans="2:2" x14ac:dyDescent="0.25">
      <c r="B2" s="26" t="s">
        <v>47</v>
      </c>
    </row>
    <row r="3" spans="2:2" x14ac:dyDescent="0.25">
      <c r="B3" s="16" t="s">
        <v>48</v>
      </c>
    </row>
    <row r="5" ht="26" customHeight="1" spans="2:3" x14ac:dyDescent="0.25">
      <c r="B5" s="27" t="s">
        <v>49</v>
      </c>
      <c r="C5" s="28">
        <f>SUM('Controle de Vendas'!G3:G202)</f>
      </c>
    </row>
    <row r="6" ht="26" customHeight="1" spans="2:3" x14ac:dyDescent="0.25">
      <c r="B6" s="27" t="s">
        <v>50</v>
      </c>
      <c r="C6" s="28">
        <f>SUM('Controle de Vendas'!J3:J202)</f>
      </c>
    </row>
    <row r="7" ht="26" customHeight="1" spans="2:3" x14ac:dyDescent="0.25">
      <c r="B7" s="27" t="s">
        <v>51</v>
      </c>
      <c r="C7" s="29">
        <f>SUM('Controle de Vendas'!C3:C202)</f>
      </c>
    </row>
    <row r="8" ht="26" customHeight="1" spans="2:3" x14ac:dyDescent="0.25">
      <c r="B8" s="27" t="s">
        <v>52</v>
      </c>
      <c r="C8" s="29">
        <f>COUNT('Controle de Vendas'!E3:E202)</f>
      </c>
    </row>
    <row r="9" ht="26" customHeight="1" spans="2:3" x14ac:dyDescent="0.25">
      <c r="B9" s="27" t="s">
        <v>53</v>
      </c>
      <c r="C9" s="30">
        <f>IFERROR(SUM('Controle de Vendas'!G3:G202)/COUNT('Controle de Vendas'!E3:E202),0)</f>
      </c>
    </row>
    <row r="10" ht="26" customHeight="1" spans="2:3" x14ac:dyDescent="0.25">
      <c r="B10" s="27" t="s">
        <v>54</v>
      </c>
      <c r="C10" s="31">
        <f>IFERROR(SUM('Controle de Vendas'!J3:J202)/SUM('Controle de Vendas'!G3:G202),0)</f>
      </c>
    </row>
    <row r="11" ht="26" customHeight="1" spans="2:3" x14ac:dyDescent="0.25">
      <c r="B11" s="27" t="s">
        <v>55</v>
      </c>
      <c r="C11" s="30">
        <f>SUM('Controle de Vendas'!I3:I202)</f>
      </c>
    </row>
    <row r="13" spans="2:2" x14ac:dyDescent="0.25">
      <c r="B13" s="3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Início</vt:lpstr>
      <vt:lpstr>Precificação</vt:lpstr>
      <vt:lpstr>Controle de Vendas</vt:lpstr>
      <vt:lpstr>Controle de Estoque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2026-06-25T21:10:54Z</dcterms:created>
  <dcterms:modified xsi:type="dcterms:W3CDTF">2026-06-25T21:10:54Z</dcterms:modified>
</cp:coreProperties>
</file>
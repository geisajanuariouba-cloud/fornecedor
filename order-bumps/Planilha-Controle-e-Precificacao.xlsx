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ício" state="visible" r:id="rId4"/>
    <sheet sheetId="2" name="Controle de Estoque" state="visible" r:id="rId5"/>
    <sheet sheetId="3" name="Precificação" state="visible" r:id="rId6"/>
    <sheet sheetId="4" name="Controle de Vendas" state="visible" r:id="rId7"/>
    <sheet sheetId="5" name="Resumo Financeiro" state="visible" r:id="rId8"/>
  </sheets>
  <calcPr calcId="171027"/>
</workbook>
</file>

<file path=xl/sharedStrings.xml><?xml version="1.0" encoding="utf-8"?>
<sst xmlns="http://schemas.openxmlformats.org/spreadsheetml/2006/main" count="76" uniqueCount="63">
  <si>
    <t>FORNECEDORVIP</t>
  </si>
  <si>
    <t>Planilha de Controle + Precificação</t>
  </si>
  <si>
    <t/>
  </si>
  <si>
    <t>COMO USAR — leva 2 minutos</t>
  </si>
  <si>
    <t>Amarelo = você digita.  Cinza = a planilha calcula sozinha.  Verde escuro = cabeçalho.</t>
  </si>
  <si>
    <t>1) ESTOQUE — cadastre seus produtos, fornecedor e custo. O estoque atual se atualiza sozinho.</t>
  </si>
  <si>
    <t>2) PRECIFICAÇÃO — informe custo, taxa e margem. Ela calcula o preço ideal e o lucro.</t>
  </si>
  <si>
    <t>3) CONTROLE DE VENDAS — anote cada venda. Receita, custo e lucro são automáticos (o custo é puxado do Estoque/Precificação).</t>
  </si>
  <si>
    <t>4) RESUMO FINANCEIRO — vê tudo somado: receita, custo, lucro, produto e plataforma campeões.</t>
  </si>
  <si>
    <t>DICA: use sempre o MESMO nome de produto nas abas, para o cálculo automático funcionar.</t>
  </si>
  <si>
    <t>CONTROLE DE ESTOQUE — preencha o amarelo; o estoque atual se calcula sozinho</t>
  </si>
  <si>
    <t>Nome do produto</t>
  </si>
  <si>
    <t>Fornecedor</t>
  </si>
  <si>
    <t>Preço de custo (R$)</t>
  </si>
  <si>
    <t>Qtd comprada</t>
  </si>
  <si>
    <t>Qtd vendida</t>
  </si>
  <si>
    <t>Qtd em estoque</t>
  </si>
  <si>
    <t>Data da compra</t>
  </si>
  <si>
    <t>Conjunto fitness</t>
  </si>
  <si>
    <t>Moda Fit Atacado</t>
  </si>
  <si>
    <t>10/01/2026</t>
  </si>
  <si>
    <t>Perfume importado 50ml</t>
  </si>
  <si>
    <t>Essência Imports</t>
  </si>
  <si>
    <t>05/02/2026</t>
  </si>
  <si>
    <t>Kit maquiagem</t>
  </si>
  <si>
    <t>Beauty Atacado</t>
  </si>
  <si>
    <t>20/02/2026</t>
  </si>
  <si>
    <t>PRECIFICAÇÃO — informe custo, taxa, frete e margem; o resto é automático</t>
  </si>
  <si>
    <t xml:space="preserve">Preço de
custo (R$)</t>
  </si>
  <si>
    <t xml:space="preserve">Taxa da
plataforma (%)</t>
  </si>
  <si>
    <t xml:space="preserve">Frete
estimado (R$)</t>
  </si>
  <si>
    <t xml:space="preserve">Margem
desejada (%)</t>
  </si>
  <si>
    <t xml:space="preserve">Preço mínimo
de venda (R$)</t>
  </si>
  <si>
    <t xml:space="preserve">Preço sugerido
de venda (R$)</t>
  </si>
  <si>
    <t xml:space="preserve">Lucro por
unidade (R$)</t>
  </si>
  <si>
    <t xml:space="preserve">Lucro por
unidade (%)</t>
  </si>
  <si>
    <t>Taxas comuns: Shopee ~20%  |  Mercado Livre ~16%  |  WhatsApp / Instagram = 0%</t>
  </si>
  <si>
    <t>CONTROLE DE VENDAS — anote a venda; receita, custo e lucro são automáticos</t>
  </si>
  <si>
    <t>Data</t>
  </si>
  <si>
    <t>Produto</t>
  </si>
  <si>
    <t>Plataforma</t>
  </si>
  <si>
    <t xml:space="preserve">Preço de
venda (R$)</t>
  </si>
  <si>
    <t xml:space="preserve">Receita
total (R$)</t>
  </si>
  <si>
    <t xml:space="preserve">Custo
total (R$)</t>
  </si>
  <si>
    <t xml:space="preserve">Lucro da
venda (R$)</t>
  </si>
  <si>
    <t>12/02/2026</t>
  </si>
  <si>
    <t>Shopee</t>
  </si>
  <si>
    <t>15/02/2026</t>
  </si>
  <si>
    <t>Instagram</t>
  </si>
  <si>
    <t>18/02/2026</t>
  </si>
  <si>
    <t>WhatsApp</t>
  </si>
  <si>
    <t>TOTAL</t>
  </si>
  <si>
    <t>RESUMO FINANCEIRO</t>
  </si>
  <si>
    <t>Atualiza sozinho conforme você lança as vendas.</t>
  </si>
  <si>
    <t>Receita total do mês</t>
  </si>
  <si>
    <t>Apoio: plataformas (não apague)</t>
  </si>
  <si>
    <t>Custo total</t>
  </si>
  <si>
    <t>Lucro bruto</t>
  </si>
  <si>
    <t>Mercado Livre</t>
  </si>
  <si>
    <t>Produto mais vendido</t>
  </si>
  <si>
    <t>Plataforma que mais vendeu</t>
  </si>
  <si>
    <t>FornecedorVip — fornecedorvip.shop</t>
  </si>
  <si>
    <t>Apoio: produtos (não apague)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</si>
</sst>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 #,##0.00"/>
    <numFmt numFmtId="165" formatCode="0.0%"/>
  </numFmts>
  <fonts count="20" x14ac:knownFonts="1">
    <font>
      <color theme="1"/>
      <family val="2"/>
      <scheme val="minor"/>
      <sz val="11"/>
      <name val="Calibri"/>
    </font>
    <font>
      <b/>
      <color rgb="FF15803D"/>
      <sz val="20"/>
      <name val="Calibri"/>
    </font>
    <font>
      <b/>
      <color rgb="FF111111"/>
      <sz val="14"/>
      <name val="Calibri"/>
    </font>
    <font>
      <b/>
      <color rgb="FF15803D"/>
      <sz val="13"/>
      <name val="Calibri"/>
    </font>
    <font>
      <i/>
      <color rgb="FF6B7280"/>
      <sz val="11"/>
      <name val="Calibri"/>
    </font>
    <font>
      <color rgb="FF333333"/>
      <sz val="11.5"/>
      <name val="Calibri"/>
    </font>
    <font>
      <b/>
      <color rgb="FF15803D"/>
      <sz val="11"/>
      <name val="Calibri"/>
    </font>
    <font>
      <b/>
      <color rgb="FF15803D"/>
      <sz val="12"/>
      <name val="Calibri"/>
    </font>
    <font>
      <b/>
      <color rgb="FFFFFFFF"/>
      <sz val="11"/>
      <name val="Calibri"/>
    </font>
    <font>
      <color rgb="FF1D4ED8"/>
      <sz val="11"/>
      <name val="Calibri"/>
    </font>
    <font>
      <b/>
      <color rgb="FF111111"/>
      <sz val="11"/>
      <name val="Calibri"/>
    </font>
    <font>
      <color rgb="FF111111"/>
      <sz val="11"/>
      <name val="Calibri"/>
    </font>
    <font>
      <i/>
      <color rgb="FF6B7280"/>
      <sz val="10"/>
      <name val="Calibri"/>
    </font>
    <font>
      <b/>
      <color rgb="FFFFFFFF"/>
      <name val="Calibri"/>
    </font>
    <font>
      <b/>
      <color rgb="FF15803D"/>
      <sz val="16"/>
      <name val="Calibri"/>
    </font>
    <font>
      <b/>
      <color rgb="FF6B7280"/>
      <sz val="9"/>
      <name val="Calibri"/>
    </font>
    <font>
      <b/>
      <color rgb="FF111111"/>
      <sz val="12"/>
      <name val="Calibri"/>
    </font>
    <font>
      <sz val="10"/>
      <name val="Calibri"/>
    </font>
    <font>
      <i/>
      <color rgb="FF6B7280"/>
      <sz val="9"/>
      <name val="Calibri"/>
    </font>
    <font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0FDF4"/>
      </patternFill>
    </fill>
    <fill>
      <patternFill patternType="solid">
        <fgColor rgb="FF166534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vertical="center" wrapText="1"/>
    </xf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164" fontId="9" fillId="4" borderId="1" xfId="0" applyNumberFormat="1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" fontId="10" fillId="5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4" fontId="11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0" fontId="12" fillId="0" borderId="0" xfId="0" applyFont="1"/>
    <xf numFmtId="0" fontId="0" fillId="3" borderId="0" xfId="0" applyFill="1"/>
    <xf numFmtId="0" fontId="13" fillId="3" borderId="0" xfId="0" applyFont="1" applyFill="1" applyAlignment="1">
      <alignment horizontal="right"/>
    </xf>
    <xf numFmtId="164" fontId="13" fillId="3" borderId="1" xfId="0" applyNumberFormat="1" applyFont="1" applyFill="1" applyBorder="1" applyAlignment="1">
      <alignment horizontal="center"/>
    </xf>
    <xf numFmtId="0" fontId="14" fillId="0" borderId="0" xfId="0" applyFont="1"/>
    <xf numFmtId="0" fontId="10" fillId="2" borderId="1" xfId="0" applyFont="1" applyFill="1" applyBorder="1" applyAlignment="1">
      <alignment horizontal="left" vertical="center" indent="1"/>
    </xf>
    <xf numFmtId="164" fontId="7" fillId="5" borderId="1" xfId="0" applyNumberFormat="1" applyFont="1" applyFill="1" applyBorder="1" applyAlignment="1">
      <alignment horizontal="center" vertical="center"/>
    </xf>
    <xf numFmtId="0" fontId="15" fillId="0" borderId="0" xfId="0" applyFont="1"/>
    <xf numFmtId="164" fontId="16" fillId="5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164" fontId="17" fillId="0" borderId="1" xfId="0" applyNumberFormat="1" applyFont="1" applyBorder="1"/>
    <xf numFmtId="0" fontId="16" fillId="5" borderId="1" xfId="0" applyFont="1" applyFill="1" applyBorder="1" applyAlignment="1">
      <alignment horizontal="center" vertical="center"/>
    </xf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4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92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spans="2:2" x14ac:dyDescent="0.25">
      <c r="B5" t="s">
        <v>2</v>
      </c>
    </row>
    <row r="6" spans="2:2" x14ac:dyDescent="0.25">
      <c r="B6" s="3" t="s">
        <v>3</v>
      </c>
    </row>
    <row r="7" spans="2:2" x14ac:dyDescent="0.25">
      <c r="B7" s="4" t="s">
        <v>4</v>
      </c>
    </row>
    <row r="8" spans="2:2" x14ac:dyDescent="0.25">
      <c r="B8" t="s">
        <v>2</v>
      </c>
    </row>
    <row r="9" ht="32" customHeight="1" spans="2:2" x14ac:dyDescent="0.25">
      <c r="B9" s="5" t="s">
        <v>5</v>
      </c>
    </row>
    <row r="10" ht="32" customHeight="1" spans="2:2" x14ac:dyDescent="0.25">
      <c r="B10" s="5" t="s">
        <v>6</v>
      </c>
    </row>
    <row r="11" ht="32" customHeight="1" spans="2:2" x14ac:dyDescent="0.25">
      <c r="B11" s="5" t="s">
        <v>7</v>
      </c>
    </row>
    <row r="12" ht="32" customHeight="1" spans="2:2" x14ac:dyDescent="0.25">
      <c r="B12" s="5" t="s">
        <v>8</v>
      </c>
    </row>
    <row r="13" spans="2:2" x14ac:dyDescent="0.25">
      <c r="B13" t="s">
        <v>2</v>
      </c>
    </row>
    <row r="14" ht="28" customHeight="1" spans="2:2" x14ac:dyDescent="0.25">
      <c r="B14" s="6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"/>
  <sheetViews>
    <sheetView workbookViewId="0" showGridLines="0"/>
  </sheetViews>
  <sheetFormatPr defaultRowHeight="15" outlineLevelRow="0" outlineLevelCol="0" x14ac:dyDescent="55"/>
  <cols>
    <col min="1" max="1" width="28" customWidth="1"/>
    <col min="2" max="2" width="22" customWidth="1"/>
    <col min="3" max="3" width="15" customWidth="1"/>
    <col min="4" max="5" width="13" customWidth="1"/>
    <col min="6" max="6" width="14" customWidth="1"/>
    <col min="7" max="7" width="15" customWidth="1"/>
  </cols>
  <sheetData>
    <row r="1" spans="1:7" x14ac:dyDescent="0.25">
      <c r="A1" s="7" t="s">
        <v>10</v>
      </c>
      <c r="B1" s="7"/>
      <c r="C1" s="7"/>
      <c r="D1" s="7"/>
      <c r="E1" s="7"/>
      <c r="F1" s="7"/>
      <c r="G1" s="7"/>
    </row>
    <row r="2" ht="30" customHeight="1" spans="1:7" x14ac:dyDescent="0.25">
      <c r="A2" s="8" t="s">
        <v>11</v>
      </c>
      <c r="B2" s="8" t="s">
        <v>12</v>
      </c>
      <c r="C2" s="8" t="s">
        <v>13</v>
      </c>
      <c r="D2" s="8" t="s">
        <v>14</v>
      </c>
      <c r="E2" s="8" t="s">
        <v>15</v>
      </c>
      <c r="F2" s="8" t="s">
        <v>16</v>
      </c>
      <c r="G2" s="8" t="s">
        <v>17</v>
      </c>
    </row>
    <row r="3" spans="1:7" x14ac:dyDescent="0.25">
      <c r="A3" s="9" t="s">
        <v>18</v>
      </c>
      <c r="B3" s="9" t="s">
        <v>19</v>
      </c>
      <c r="C3" s="10">
        <v>22</v>
      </c>
      <c r="D3" s="11">
        <v>50</v>
      </c>
      <c r="E3" s="11">
        <v>30</v>
      </c>
      <c r="F3" s="12">
        <f>IF(A3="","",D3-E3)</f>
      </c>
      <c r="G3" s="13" t="s">
        <v>20</v>
      </c>
    </row>
    <row r="4" spans="1:7" x14ac:dyDescent="0.25">
      <c r="A4" s="9" t="s">
        <v>21</v>
      </c>
      <c r="B4" s="9" t="s">
        <v>22</v>
      </c>
      <c r="C4" s="10">
        <v>35</v>
      </c>
      <c r="D4" s="11">
        <v>30</v>
      </c>
      <c r="E4" s="11">
        <v>12</v>
      </c>
      <c r="F4" s="12">
        <f>IF(A4="","",D4-E4)</f>
      </c>
      <c r="G4" s="13" t="s">
        <v>23</v>
      </c>
    </row>
    <row r="5" spans="1:7" x14ac:dyDescent="0.25">
      <c r="A5" s="9" t="s">
        <v>24</v>
      </c>
      <c r="B5" s="9" t="s">
        <v>25</v>
      </c>
      <c r="C5" s="10">
        <v>28</v>
      </c>
      <c r="D5" s="11">
        <v>40</v>
      </c>
      <c r="E5" s="11">
        <v>25</v>
      </c>
      <c r="F5" s="12">
        <f>IF(A5="","",D5-E5)</f>
      </c>
      <c r="G5" s="13" t="s">
        <v>26</v>
      </c>
    </row>
    <row r="6" spans="1:7" x14ac:dyDescent="0.25">
      <c r="A6" s="9"/>
      <c r="B6" s="9"/>
      <c r="C6" s="10"/>
      <c r="D6" s="11"/>
      <c r="E6" s="11"/>
      <c r="F6" s="12">
        <f>IF(A6="","",D6-E6)</f>
      </c>
      <c r="G6" s="13"/>
    </row>
    <row r="7" spans="1:7" x14ac:dyDescent="0.25">
      <c r="A7" s="9"/>
      <c r="B7" s="9"/>
      <c r="C7" s="10"/>
      <c r="D7" s="11"/>
      <c r="E7" s="11"/>
      <c r="F7" s="12">
        <f>IF(A7="","",D7-E7)</f>
      </c>
      <c r="G7" s="13"/>
    </row>
    <row r="8" spans="1:7" x14ac:dyDescent="0.25">
      <c r="A8" s="9"/>
      <c r="B8" s="9"/>
      <c r="C8" s="10"/>
      <c r="D8" s="11"/>
      <c r="E8" s="11"/>
      <c r="F8" s="12">
        <f>IF(A8="","",D8-E8)</f>
      </c>
      <c r="G8" s="13"/>
    </row>
    <row r="9" spans="1:7" x14ac:dyDescent="0.25">
      <c r="A9" s="9"/>
      <c r="B9" s="9"/>
      <c r="C9" s="10"/>
      <c r="D9" s="11"/>
      <c r="E9" s="11"/>
      <c r="F9" s="12">
        <f>IF(A9="","",D9-E9)</f>
      </c>
      <c r="G9" s="13"/>
    </row>
    <row r="10" spans="1:7" x14ac:dyDescent="0.25">
      <c r="A10" s="9"/>
      <c r="B10" s="9"/>
      <c r="C10" s="10"/>
      <c r="D10" s="11"/>
      <c r="E10" s="11"/>
      <c r="F10" s="12">
        <f>IF(A10="","",D10-E10)</f>
      </c>
      <c r="G10" s="13"/>
    </row>
    <row r="11" spans="1:7" x14ac:dyDescent="0.25">
      <c r="A11" s="9"/>
      <c r="B11" s="9"/>
      <c r="C11" s="10"/>
      <c r="D11" s="11"/>
      <c r="E11" s="11"/>
      <c r="F11" s="12">
        <f>IF(A11="","",D11-E11)</f>
      </c>
      <c r="G11" s="13"/>
    </row>
    <row r="12" spans="1:7" x14ac:dyDescent="0.25">
      <c r="A12" s="9"/>
      <c r="B12" s="9"/>
      <c r="C12" s="10"/>
      <c r="D12" s="11"/>
      <c r="E12" s="11"/>
      <c r="F12" s="12">
        <f>IF(A12="","",D12-E12)</f>
      </c>
      <c r="G12" s="13"/>
    </row>
    <row r="13" spans="1:7" x14ac:dyDescent="0.25">
      <c r="A13" s="9"/>
      <c r="B13" s="9"/>
      <c r="C13" s="10"/>
      <c r="D13" s="11"/>
      <c r="E13" s="11"/>
      <c r="F13" s="12">
        <f>IF(A13="","",D13-E13)</f>
      </c>
      <c r="G13" s="13"/>
    </row>
    <row r="14" spans="1:7" x14ac:dyDescent="0.25">
      <c r="A14" s="9"/>
      <c r="B14" s="9"/>
      <c r="C14" s="10"/>
      <c r="D14" s="11"/>
      <c r="E14" s="11"/>
      <c r="F14" s="12">
        <f>IF(A14="","",D14-E14)</f>
      </c>
      <c r="G14" s="13"/>
    </row>
    <row r="15" spans="1:7" x14ac:dyDescent="0.25">
      <c r="A15" s="9"/>
      <c r="B15" s="9"/>
      <c r="C15" s="10"/>
      <c r="D15" s="11"/>
      <c r="E15" s="11"/>
      <c r="F15" s="12">
        <f>IF(A15="","",D15-E15)</f>
      </c>
      <c r="G15" s="13"/>
    </row>
    <row r="16" spans="1:7" x14ac:dyDescent="0.25">
      <c r="A16" s="9"/>
      <c r="B16" s="9"/>
      <c r="C16" s="10"/>
      <c r="D16" s="11"/>
      <c r="E16" s="11"/>
      <c r="F16" s="12">
        <f>IF(A16="","",D16-E16)</f>
      </c>
      <c r="G16" s="13"/>
    </row>
    <row r="17" spans="1:7" x14ac:dyDescent="0.25">
      <c r="A17" s="9"/>
      <c r="B17" s="9"/>
      <c r="C17" s="10"/>
      <c r="D17" s="11"/>
      <c r="E17" s="11"/>
      <c r="F17" s="12">
        <f>IF(A17="","",D17-E17)</f>
      </c>
      <c r="G17" s="13"/>
    </row>
    <row r="18" spans="1:7" x14ac:dyDescent="0.25">
      <c r="A18" s="9"/>
      <c r="B18" s="9"/>
      <c r="C18" s="10"/>
      <c r="D18" s="11"/>
      <c r="E18" s="11"/>
      <c r="F18" s="12">
        <f>IF(A18="","",D18-E18)</f>
      </c>
      <c r="G18" s="13"/>
    </row>
    <row r="19" spans="1:7" x14ac:dyDescent="0.25">
      <c r="A19" s="9"/>
      <c r="B19" s="9"/>
      <c r="C19" s="10"/>
      <c r="D19" s="11"/>
      <c r="E19" s="11"/>
      <c r="F19" s="12">
        <f>IF(A19="","",D19-E19)</f>
      </c>
      <c r="G19" s="13"/>
    </row>
    <row r="20" spans="1:7" x14ac:dyDescent="0.25">
      <c r="A20" s="9"/>
      <c r="B20" s="9"/>
      <c r="C20" s="10"/>
      <c r="D20" s="11"/>
      <c r="E20" s="11"/>
      <c r="F20" s="12">
        <f>IF(A20="","",D20-E20)</f>
      </c>
      <c r="G20" s="13"/>
    </row>
    <row r="21" spans="1:7" x14ac:dyDescent="0.25">
      <c r="A21" s="9"/>
      <c r="B21" s="9"/>
      <c r="C21" s="10"/>
      <c r="D21" s="11"/>
      <c r="E21" s="11"/>
      <c r="F21" s="12">
        <f>IF(A21="","",D21-E21)</f>
      </c>
      <c r="G21" s="13"/>
    </row>
    <row r="22" spans="1:7" x14ac:dyDescent="0.25">
      <c r="A22" s="9"/>
      <c r="B22" s="9"/>
      <c r="C22" s="10"/>
      <c r="D22" s="11"/>
      <c r="E22" s="11"/>
      <c r="F22" s="12">
        <f>IF(A22="","",D22-E22)</f>
      </c>
      <c r="G22" s="13"/>
    </row>
    <row r="23" spans="1:7" x14ac:dyDescent="0.25">
      <c r="A23" s="9"/>
      <c r="B23" s="9"/>
      <c r="C23" s="10"/>
      <c r="D23" s="11"/>
      <c r="E23" s="11"/>
      <c r="F23" s="12">
        <f>IF(A23="","",D23-E23)</f>
      </c>
      <c r="G23" s="13"/>
    </row>
    <row r="24" spans="1:7" x14ac:dyDescent="0.25">
      <c r="A24" s="9"/>
      <c r="B24" s="9"/>
      <c r="C24" s="10"/>
      <c r="D24" s="11"/>
      <c r="E24" s="11"/>
      <c r="F24" s="12">
        <f>IF(A24="","",D24-E24)</f>
      </c>
      <c r="G24" s="13"/>
    </row>
    <row r="25" spans="1:7" x14ac:dyDescent="0.25">
      <c r="A25" s="9"/>
      <c r="B25" s="9"/>
      <c r="C25" s="10"/>
      <c r="D25" s="11"/>
      <c r="E25" s="11"/>
      <c r="F25" s="12">
        <f>IF(A25="","",D25-E25)</f>
      </c>
      <c r="G25" s="13"/>
    </row>
    <row r="26" spans="1:7" x14ac:dyDescent="0.25">
      <c r="A26" s="9"/>
      <c r="B26" s="9"/>
      <c r="C26" s="10"/>
      <c r="D26" s="11"/>
      <c r="E26" s="11"/>
      <c r="F26" s="12">
        <f>IF(A26="","",D26-E26)</f>
      </c>
      <c r="G26" s="13"/>
    </row>
    <row r="27" spans="1:7" x14ac:dyDescent="0.25">
      <c r="A27" s="9"/>
      <c r="B27" s="9"/>
      <c r="C27" s="10"/>
      <c r="D27" s="11"/>
      <c r="E27" s="11"/>
      <c r="F27" s="12">
        <f>IF(A27="","",D27-E27)</f>
      </c>
      <c r="G27" s="13"/>
    </row>
    <row r="28" spans="1:7" x14ac:dyDescent="0.25">
      <c r="A28" s="9"/>
      <c r="B28" s="9"/>
      <c r="C28" s="10"/>
      <c r="D28" s="11"/>
      <c r="E28" s="11"/>
      <c r="F28" s="12">
        <f>IF(A28="","",D28-E28)</f>
      </c>
      <c r="G28" s="13"/>
    </row>
    <row r="29" spans="1:7" x14ac:dyDescent="0.25">
      <c r="A29" s="9"/>
      <c r="B29" s="9"/>
      <c r="C29" s="10"/>
      <c r="D29" s="11"/>
      <c r="E29" s="11"/>
      <c r="F29" s="12">
        <f>IF(A29="","",D29-E29)</f>
      </c>
      <c r="G29" s="13"/>
    </row>
    <row r="30" spans="1:7" x14ac:dyDescent="0.25">
      <c r="A30" s="9"/>
      <c r="B30" s="9"/>
      <c r="C30" s="10"/>
      <c r="D30" s="11"/>
      <c r="E30" s="11"/>
      <c r="F30" s="12">
        <f>IF(A30="","",D30-E30)</f>
      </c>
      <c r="G30" s="13"/>
    </row>
    <row r="31" spans="1:7" x14ac:dyDescent="0.25">
      <c r="A31" s="9"/>
      <c r="B31" s="9"/>
      <c r="C31" s="10"/>
      <c r="D31" s="11"/>
      <c r="E31" s="11"/>
      <c r="F31" s="12">
        <f>IF(A31="","",D31-E31)</f>
      </c>
      <c r="G31" s="13"/>
    </row>
    <row r="32" spans="1:7" x14ac:dyDescent="0.25">
      <c r="A32" s="9"/>
      <c r="B32" s="9"/>
      <c r="C32" s="10"/>
      <c r="D32" s="11"/>
      <c r="E32" s="11"/>
      <c r="F32" s="12">
        <f>IF(A32="","",D32-E32)</f>
      </c>
      <c r="G32" s="13"/>
    </row>
    <row r="33" spans="1:7" x14ac:dyDescent="0.25">
      <c r="A33" s="9"/>
      <c r="B33" s="9"/>
      <c r="C33" s="10"/>
      <c r="D33" s="11"/>
      <c r="E33" s="11"/>
      <c r="F33" s="12">
        <f>IF(A33="","",D33-E33)</f>
      </c>
      <c r="G33" s="13"/>
    </row>
    <row r="34" spans="1:7" x14ac:dyDescent="0.25">
      <c r="A34" s="9"/>
      <c r="B34" s="9"/>
      <c r="C34" s="10"/>
      <c r="D34" s="11"/>
      <c r="E34" s="11"/>
      <c r="F34" s="12">
        <f>IF(A34="","",D34-E34)</f>
      </c>
      <c r="G34" s="13"/>
    </row>
    <row r="35" spans="1:7" x14ac:dyDescent="0.25">
      <c r="A35" s="9"/>
      <c r="B35" s="9"/>
      <c r="C35" s="10"/>
      <c r="D35" s="11"/>
      <c r="E35" s="11"/>
      <c r="F35" s="12">
        <f>IF(A35="","",D35-E35)</f>
      </c>
      <c r="G35" s="13"/>
    </row>
    <row r="36" spans="1:7" x14ac:dyDescent="0.25">
      <c r="A36" s="9"/>
      <c r="B36" s="9"/>
      <c r="C36" s="10"/>
      <c r="D36" s="11"/>
      <c r="E36" s="11"/>
      <c r="F36" s="12">
        <f>IF(A36="","",D36-E36)</f>
      </c>
      <c r="G36" s="13"/>
    </row>
    <row r="37" spans="1:7" x14ac:dyDescent="0.25">
      <c r="A37" s="9"/>
      <c r="B37" s="9"/>
      <c r="C37" s="10"/>
      <c r="D37" s="11"/>
      <c r="E37" s="11"/>
      <c r="F37" s="12">
        <f>IF(A37="","",D37-E37)</f>
      </c>
      <c r="G37" s="13"/>
    </row>
    <row r="38" spans="1:7" x14ac:dyDescent="0.25">
      <c r="A38" s="9"/>
      <c r="B38" s="9"/>
      <c r="C38" s="10"/>
      <c r="D38" s="11"/>
      <c r="E38" s="11"/>
      <c r="F38" s="12">
        <f>IF(A38="","",D38-E38)</f>
      </c>
      <c r="G38" s="13"/>
    </row>
    <row r="39" spans="1:7" x14ac:dyDescent="0.25">
      <c r="A39" s="9"/>
      <c r="B39" s="9"/>
      <c r="C39" s="10"/>
      <c r="D39" s="11"/>
      <c r="E39" s="11"/>
      <c r="F39" s="12">
        <f>IF(A39="","",D39-E39)</f>
      </c>
      <c r="G39" s="13"/>
    </row>
    <row r="40" spans="1:7" x14ac:dyDescent="0.25">
      <c r="A40" s="9"/>
      <c r="B40" s="9"/>
      <c r="C40" s="10"/>
      <c r="D40" s="11"/>
      <c r="E40" s="11"/>
      <c r="F40" s="12">
        <f>IF(A40="","",D40-E40)</f>
      </c>
      <c r="G40" s="13"/>
    </row>
    <row r="41" spans="1:7" x14ac:dyDescent="0.25">
      <c r="A41" s="9"/>
      <c r="B41" s="9"/>
      <c r="C41" s="10"/>
      <c r="D41" s="11"/>
      <c r="E41" s="11"/>
      <c r="F41" s="12">
        <f>IF(A41="","",D41-E41)</f>
      </c>
      <c r="G41" s="13"/>
    </row>
    <row r="42" spans="1:7" x14ac:dyDescent="0.25">
      <c r="A42" s="9"/>
      <c r="B42" s="9"/>
      <c r="C42" s="10"/>
      <c r="D42" s="11"/>
      <c r="E42" s="11"/>
      <c r="F42" s="12">
        <f>IF(A42="","",D42-E42)</f>
      </c>
      <c r="G42" s="13"/>
    </row>
    <row r="43" spans="1:7" x14ac:dyDescent="0.25">
      <c r="A43" s="9"/>
      <c r="B43" s="9"/>
      <c r="C43" s="10"/>
      <c r="D43" s="11"/>
      <c r="E43" s="11"/>
      <c r="F43" s="12">
        <f>IF(A43="","",D43-E43)</f>
      </c>
      <c r="G43" s="13"/>
    </row>
    <row r="44" spans="1:7" x14ac:dyDescent="0.25">
      <c r="A44" s="9"/>
      <c r="B44" s="9"/>
      <c r="C44" s="10"/>
      <c r="D44" s="11"/>
      <c r="E44" s="11"/>
      <c r="F44" s="12">
        <f>IF(A44="","",D44-E44)</f>
      </c>
      <c r="G44" s="13"/>
    </row>
    <row r="45" spans="1:7" x14ac:dyDescent="0.25">
      <c r="A45" s="9"/>
      <c r="B45" s="9"/>
      <c r="C45" s="10"/>
      <c r="D45" s="11"/>
      <c r="E45" s="11"/>
      <c r="F45" s="12">
        <f>IF(A45="","",D45-E45)</f>
      </c>
      <c r="G45" s="13"/>
    </row>
    <row r="46" spans="1:7" x14ac:dyDescent="0.25">
      <c r="A46" s="9"/>
      <c r="B46" s="9"/>
      <c r="C46" s="10"/>
      <c r="D46" s="11"/>
      <c r="E46" s="11"/>
      <c r="F46" s="12">
        <f>IF(A46="","",D46-E46)</f>
      </c>
      <c r="G46" s="13"/>
    </row>
    <row r="47" spans="1:7" x14ac:dyDescent="0.25">
      <c r="A47" s="9"/>
      <c r="B47" s="9"/>
      <c r="C47" s="10"/>
      <c r="D47" s="11"/>
      <c r="E47" s="11"/>
      <c r="F47" s="12">
        <f>IF(A47="","",D47-E47)</f>
      </c>
      <c r="G47" s="13"/>
    </row>
    <row r="48" spans="1:7" x14ac:dyDescent="0.25">
      <c r="A48" s="9"/>
      <c r="B48" s="9"/>
      <c r="C48" s="10"/>
      <c r="D48" s="11"/>
      <c r="E48" s="11"/>
      <c r="F48" s="12">
        <f>IF(A48="","",D48-E48)</f>
      </c>
      <c r="G48" s="13"/>
    </row>
    <row r="49" spans="1:7" x14ac:dyDescent="0.25">
      <c r="A49" s="9"/>
      <c r="B49" s="9"/>
      <c r="C49" s="10"/>
      <c r="D49" s="11"/>
      <c r="E49" s="11"/>
      <c r="F49" s="12">
        <f>IF(A49="","",D49-E49)</f>
      </c>
      <c r="G49" s="13"/>
    </row>
    <row r="50" spans="1:7" x14ac:dyDescent="0.25">
      <c r="A50" s="9"/>
      <c r="B50" s="9"/>
      <c r="C50" s="10"/>
      <c r="D50" s="11"/>
      <c r="E50" s="11"/>
      <c r="F50" s="12">
        <f>IF(A50="","",D50-E50)</f>
      </c>
      <c r="G50" s="13"/>
    </row>
    <row r="51" spans="1:7" x14ac:dyDescent="0.25">
      <c r="A51" s="9"/>
      <c r="B51" s="9"/>
      <c r="C51" s="10"/>
      <c r="D51" s="11"/>
      <c r="E51" s="11"/>
      <c r="F51" s="12">
        <f>IF(A51="","",D51-E51)</f>
      </c>
      <c r="G51" s="13"/>
    </row>
    <row r="52" spans="1:7" x14ac:dyDescent="0.25">
      <c r="A52" s="9"/>
      <c r="B52" s="9"/>
      <c r="C52" s="10"/>
      <c r="D52" s="11"/>
      <c r="E52" s="11"/>
      <c r="F52" s="12">
        <f>IF(A52="","",D52-E52)</f>
      </c>
      <c r="G52" s="13"/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4"/>
  <sheetViews>
    <sheetView workbookViewId="0" showGridLines="0"/>
  </sheetViews>
  <sheetFormatPr defaultRowHeight="15" outlineLevelRow="0" outlineLevelCol="0" x14ac:dyDescent="55"/>
  <cols>
    <col min="1" max="1" width="26" customWidth="1"/>
    <col min="2" max="2" width="12" customWidth="1"/>
    <col min="3" max="3" width="13" customWidth="1"/>
    <col min="4" max="5" width="12" customWidth="1"/>
    <col min="6" max="6" width="14" customWidth="1"/>
    <col min="7" max="7" width="15" customWidth="1"/>
    <col min="8" max="8" width="13" customWidth="1"/>
    <col min="9" max="9" width="12" customWidth="1"/>
  </cols>
  <sheetData>
    <row r="1" spans="1:9" x14ac:dyDescent="0.25">
      <c r="A1" s="7" t="s">
        <v>27</v>
      </c>
      <c r="B1" s="7"/>
      <c r="C1" s="7"/>
      <c r="D1" s="7"/>
      <c r="E1" s="7"/>
      <c r="F1" s="7"/>
      <c r="G1" s="7"/>
      <c r="H1" s="7"/>
      <c r="I1" s="7"/>
    </row>
    <row r="2" ht="38" customHeight="1" spans="1:9" x14ac:dyDescent="0.25">
      <c r="A2" s="8" t="s">
        <v>11</v>
      </c>
      <c r="B2" s="8" t="s">
        <v>28</v>
      </c>
      <c r="C2" s="8" t="s">
        <v>29</v>
      </c>
      <c r="D2" s="8" t="s">
        <v>30</v>
      </c>
      <c r="E2" s="8" t="s">
        <v>31</v>
      </c>
      <c r="F2" s="8" t="s">
        <v>32</v>
      </c>
      <c r="G2" s="8" t="s">
        <v>33</v>
      </c>
      <c r="H2" s="8" t="s">
        <v>34</v>
      </c>
      <c r="I2" s="8" t="s">
        <v>35</v>
      </c>
    </row>
    <row r="3" spans="1:9" x14ac:dyDescent="0.25">
      <c r="A3" s="9" t="s">
        <v>18</v>
      </c>
      <c r="B3" s="10">
        <v>22</v>
      </c>
      <c r="C3" s="14">
        <v>0.2</v>
      </c>
      <c r="D3" s="10">
        <v>8</v>
      </c>
      <c r="E3" s="14">
        <v>0.3</v>
      </c>
      <c r="F3" s="15">
        <f>IFERROR(IF(B3="","",(B3+D3)/(1-C3)),"rever %")</f>
      </c>
      <c r="G3" s="16">
        <f>IFERROR(IF(B3="","",(B3+D3)/(1-C3-E3)),"rever %")</f>
      </c>
      <c r="H3" s="15">
        <f>IFERROR(IF(G3="","",G3-B3-D3-G3*C3),"")</f>
      </c>
      <c r="I3" s="17">
        <f>IFERROR(IF(G3="","",H3/G3),"")</f>
      </c>
    </row>
    <row r="4" spans="1:9" x14ac:dyDescent="0.25">
      <c r="A4" s="9" t="s">
        <v>21</v>
      </c>
      <c r="B4" s="10">
        <v>35</v>
      </c>
      <c r="C4" s="14">
        <v>0.16</v>
      </c>
      <c r="D4" s="10">
        <v>6</v>
      </c>
      <c r="E4" s="14">
        <v>0.35</v>
      </c>
      <c r="F4" s="15">
        <f>IFERROR(IF(B4="","",(B4+D4)/(1-C4)),"rever %")</f>
      </c>
      <c r="G4" s="16">
        <f>IFERROR(IF(B4="","",(B4+D4)/(1-C4-E4)),"rever %")</f>
      </c>
      <c r="H4" s="15">
        <f>IFERROR(IF(G4="","",G4-B4-D4-G4*C4),"")</f>
      </c>
      <c r="I4" s="17">
        <f>IFERROR(IF(G4="","",H4/G4),"")</f>
      </c>
    </row>
    <row r="5" spans="1:9" x14ac:dyDescent="0.25">
      <c r="A5" s="9" t="s">
        <v>24</v>
      </c>
      <c r="B5" s="10">
        <v>28</v>
      </c>
      <c r="C5" s="14">
        <v>0.2</v>
      </c>
      <c r="D5" s="10">
        <v>7</v>
      </c>
      <c r="E5" s="14">
        <v>0.3</v>
      </c>
      <c r="F5" s="15">
        <f>IFERROR(IF(B5="","",(B5+D5)/(1-C5)),"rever %")</f>
      </c>
      <c r="G5" s="16">
        <f>IFERROR(IF(B5="","",(B5+D5)/(1-C5-E5)),"rever %")</f>
      </c>
      <c r="H5" s="15">
        <f>IFERROR(IF(G5="","",G5-B5-D5-G5*C5),"")</f>
      </c>
      <c r="I5" s="17">
        <f>IFERROR(IF(G5="","",H5/G5),"")</f>
      </c>
    </row>
    <row r="6" spans="1:9" x14ac:dyDescent="0.25">
      <c r="A6" s="9"/>
      <c r="B6" s="10"/>
      <c r="C6" s="14"/>
      <c r="D6" s="10"/>
      <c r="E6" s="14"/>
      <c r="F6" s="15">
        <f>IFERROR(IF(B6="","",(B6+D6)/(1-C6)),"rever %")</f>
      </c>
      <c r="G6" s="16">
        <f>IFERROR(IF(B6="","",(B6+D6)/(1-C6-E6)),"rever %")</f>
      </c>
      <c r="H6" s="15">
        <f>IFERROR(IF(G6="","",G6-B6-D6-G6*C6),"")</f>
      </c>
      <c r="I6" s="17">
        <f>IFERROR(IF(G6="","",H6/G6),"")</f>
      </c>
    </row>
    <row r="7" spans="1:9" x14ac:dyDescent="0.25">
      <c r="A7" s="9"/>
      <c r="B7" s="10"/>
      <c r="C7" s="14"/>
      <c r="D7" s="10"/>
      <c r="E7" s="14"/>
      <c r="F7" s="15">
        <f>IFERROR(IF(B7="","",(B7+D7)/(1-C7)),"rever %")</f>
      </c>
      <c r="G7" s="16">
        <f>IFERROR(IF(B7="","",(B7+D7)/(1-C7-E7)),"rever %")</f>
      </c>
      <c r="H7" s="15">
        <f>IFERROR(IF(G7="","",G7-B7-D7-G7*C7),"")</f>
      </c>
      <c r="I7" s="17">
        <f>IFERROR(IF(G7="","",H7/G7),"")</f>
      </c>
    </row>
    <row r="8" spans="1:9" x14ac:dyDescent="0.25">
      <c r="A8" s="9"/>
      <c r="B8" s="10"/>
      <c r="C8" s="14"/>
      <c r="D8" s="10"/>
      <c r="E8" s="14"/>
      <c r="F8" s="15">
        <f>IFERROR(IF(B8="","",(B8+D8)/(1-C8)),"rever %")</f>
      </c>
      <c r="G8" s="16">
        <f>IFERROR(IF(B8="","",(B8+D8)/(1-C8-E8)),"rever %")</f>
      </c>
      <c r="H8" s="15">
        <f>IFERROR(IF(G8="","",G8-B8-D8-G8*C8),"")</f>
      </c>
      <c r="I8" s="17">
        <f>IFERROR(IF(G8="","",H8/G8),"")</f>
      </c>
    </row>
    <row r="9" spans="1:9" x14ac:dyDescent="0.25">
      <c r="A9" s="9"/>
      <c r="B9" s="10"/>
      <c r="C9" s="14"/>
      <c r="D9" s="10"/>
      <c r="E9" s="14"/>
      <c r="F9" s="15">
        <f>IFERROR(IF(B9="","",(B9+D9)/(1-C9)),"rever %")</f>
      </c>
      <c r="G9" s="16">
        <f>IFERROR(IF(B9="","",(B9+D9)/(1-C9-E9)),"rever %")</f>
      </c>
      <c r="H9" s="15">
        <f>IFERROR(IF(G9="","",G9-B9-D9-G9*C9),"")</f>
      </c>
      <c r="I9" s="17">
        <f>IFERROR(IF(G9="","",H9/G9),"")</f>
      </c>
    </row>
    <row r="10" spans="1:9" x14ac:dyDescent="0.25">
      <c r="A10" s="9"/>
      <c r="B10" s="10"/>
      <c r="C10" s="14"/>
      <c r="D10" s="10"/>
      <c r="E10" s="14"/>
      <c r="F10" s="15">
        <f>IFERROR(IF(B10="","",(B10+D10)/(1-C10)),"rever %")</f>
      </c>
      <c r="G10" s="16">
        <f>IFERROR(IF(B10="","",(B10+D10)/(1-C10-E10)),"rever %")</f>
      </c>
      <c r="H10" s="15">
        <f>IFERROR(IF(G10="","",G10-B10-D10-G10*C10),"")</f>
      </c>
      <c r="I10" s="17">
        <f>IFERROR(IF(G10="","",H10/G10),"")</f>
      </c>
    </row>
    <row r="11" spans="1:9" x14ac:dyDescent="0.25">
      <c r="A11" s="9"/>
      <c r="B11" s="10"/>
      <c r="C11" s="14"/>
      <c r="D11" s="10"/>
      <c r="E11" s="14"/>
      <c r="F11" s="15">
        <f>IFERROR(IF(B11="","",(B11+D11)/(1-C11)),"rever %")</f>
      </c>
      <c r="G11" s="16">
        <f>IFERROR(IF(B11="","",(B11+D11)/(1-C11-E11)),"rever %")</f>
      </c>
      <c r="H11" s="15">
        <f>IFERROR(IF(G11="","",G11-B11-D11-G11*C11),"")</f>
      </c>
      <c r="I11" s="17">
        <f>IFERROR(IF(G11="","",H11/G11),"")</f>
      </c>
    </row>
    <row r="12" spans="1:9" x14ac:dyDescent="0.25">
      <c r="A12" s="9"/>
      <c r="B12" s="10"/>
      <c r="C12" s="14"/>
      <c r="D12" s="10"/>
      <c r="E12" s="14"/>
      <c r="F12" s="15">
        <f>IFERROR(IF(B12="","",(B12+D12)/(1-C12)),"rever %")</f>
      </c>
      <c r="G12" s="16">
        <f>IFERROR(IF(B12="","",(B12+D12)/(1-C12-E12)),"rever %")</f>
      </c>
      <c r="H12" s="15">
        <f>IFERROR(IF(G12="","",G12-B12-D12-G12*C12),"")</f>
      </c>
      <c r="I12" s="17">
        <f>IFERROR(IF(G12="","",H12/G12),"")</f>
      </c>
    </row>
    <row r="13" spans="1:9" x14ac:dyDescent="0.25">
      <c r="A13" s="9"/>
      <c r="B13" s="10"/>
      <c r="C13" s="14"/>
      <c r="D13" s="10"/>
      <c r="E13" s="14"/>
      <c r="F13" s="15">
        <f>IFERROR(IF(B13="","",(B13+D13)/(1-C13)),"rever %")</f>
      </c>
      <c r="G13" s="16">
        <f>IFERROR(IF(B13="","",(B13+D13)/(1-C13-E13)),"rever %")</f>
      </c>
      <c r="H13" s="15">
        <f>IFERROR(IF(G13="","",G13-B13-D13-G13*C13),"")</f>
      </c>
      <c r="I13" s="17">
        <f>IFERROR(IF(G13="","",H13/G13),"")</f>
      </c>
    </row>
    <row r="14" spans="1:9" x14ac:dyDescent="0.25">
      <c r="A14" s="9"/>
      <c r="B14" s="10"/>
      <c r="C14" s="14"/>
      <c r="D14" s="10"/>
      <c r="E14" s="14"/>
      <c r="F14" s="15">
        <f>IFERROR(IF(B14="","",(B14+D14)/(1-C14)),"rever %")</f>
      </c>
      <c r="G14" s="16">
        <f>IFERROR(IF(B14="","",(B14+D14)/(1-C14-E14)),"rever %")</f>
      </c>
      <c r="H14" s="15">
        <f>IFERROR(IF(G14="","",G14-B14-D14-G14*C14),"")</f>
      </c>
      <c r="I14" s="17">
        <f>IFERROR(IF(G14="","",H14/G14),"")</f>
      </c>
    </row>
    <row r="15" spans="1:9" x14ac:dyDescent="0.25">
      <c r="A15" s="9"/>
      <c r="B15" s="10"/>
      <c r="C15" s="14"/>
      <c r="D15" s="10"/>
      <c r="E15" s="14"/>
      <c r="F15" s="15">
        <f>IFERROR(IF(B15="","",(B15+D15)/(1-C15)),"rever %")</f>
      </c>
      <c r="G15" s="16">
        <f>IFERROR(IF(B15="","",(B15+D15)/(1-C15-E15)),"rever %")</f>
      </c>
      <c r="H15" s="15">
        <f>IFERROR(IF(G15="","",G15-B15-D15-G15*C15),"")</f>
      </c>
      <c r="I15" s="17">
        <f>IFERROR(IF(G15="","",H15/G15),"")</f>
      </c>
    </row>
    <row r="16" spans="1:9" x14ac:dyDescent="0.25">
      <c r="A16" s="9"/>
      <c r="B16" s="10"/>
      <c r="C16" s="14"/>
      <c r="D16" s="10"/>
      <c r="E16" s="14"/>
      <c r="F16" s="15">
        <f>IFERROR(IF(B16="","",(B16+D16)/(1-C16)),"rever %")</f>
      </c>
      <c r="G16" s="16">
        <f>IFERROR(IF(B16="","",(B16+D16)/(1-C16-E16)),"rever %")</f>
      </c>
      <c r="H16" s="15">
        <f>IFERROR(IF(G16="","",G16-B16-D16-G16*C16),"")</f>
      </c>
      <c r="I16" s="17">
        <f>IFERROR(IF(G16="","",H16/G16),"")</f>
      </c>
    </row>
    <row r="17" spans="1:9" x14ac:dyDescent="0.25">
      <c r="A17" s="9"/>
      <c r="B17" s="10"/>
      <c r="C17" s="14"/>
      <c r="D17" s="10"/>
      <c r="E17" s="14"/>
      <c r="F17" s="15">
        <f>IFERROR(IF(B17="","",(B17+D17)/(1-C17)),"rever %")</f>
      </c>
      <c r="G17" s="16">
        <f>IFERROR(IF(B17="","",(B17+D17)/(1-C17-E17)),"rever %")</f>
      </c>
      <c r="H17" s="15">
        <f>IFERROR(IF(G17="","",G17-B17-D17-G17*C17),"")</f>
      </c>
      <c r="I17" s="17">
        <f>IFERROR(IF(G17="","",H17/G17),"")</f>
      </c>
    </row>
    <row r="18" spans="1:9" x14ac:dyDescent="0.25">
      <c r="A18" s="9"/>
      <c r="B18" s="10"/>
      <c r="C18" s="14"/>
      <c r="D18" s="10"/>
      <c r="E18" s="14"/>
      <c r="F18" s="15">
        <f>IFERROR(IF(B18="","",(B18+D18)/(1-C18)),"rever %")</f>
      </c>
      <c r="G18" s="16">
        <f>IFERROR(IF(B18="","",(B18+D18)/(1-C18-E18)),"rever %")</f>
      </c>
      <c r="H18" s="15">
        <f>IFERROR(IF(G18="","",G18-B18-D18-G18*C18),"")</f>
      </c>
      <c r="I18" s="17">
        <f>IFERROR(IF(G18="","",H18/G18),"")</f>
      </c>
    </row>
    <row r="19" spans="1:9" x14ac:dyDescent="0.25">
      <c r="A19" s="9"/>
      <c r="B19" s="10"/>
      <c r="C19" s="14"/>
      <c r="D19" s="10"/>
      <c r="E19" s="14"/>
      <c r="F19" s="15">
        <f>IFERROR(IF(B19="","",(B19+D19)/(1-C19)),"rever %")</f>
      </c>
      <c r="G19" s="16">
        <f>IFERROR(IF(B19="","",(B19+D19)/(1-C19-E19)),"rever %")</f>
      </c>
      <c r="H19" s="15">
        <f>IFERROR(IF(G19="","",G19-B19-D19-G19*C19),"")</f>
      </c>
      <c r="I19" s="17">
        <f>IFERROR(IF(G19="","",H19/G19),"")</f>
      </c>
    </row>
    <row r="20" spans="1:9" x14ac:dyDescent="0.25">
      <c r="A20" s="9"/>
      <c r="B20" s="10"/>
      <c r="C20" s="14"/>
      <c r="D20" s="10"/>
      <c r="E20" s="14"/>
      <c r="F20" s="15">
        <f>IFERROR(IF(B20="","",(B20+D20)/(1-C20)),"rever %")</f>
      </c>
      <c r="G20" s="16">
        <f>IFERROR(IF(B20="","",(B20+D20)/(1-C20-E20)),"rever %")</f>
      </c>
      <c r="H20" s="15">
        <f>IFERROR(IF(G20="","",G20-B20-D20-G20*C20),"")</f>
      </c>
      <c r="I20" s="17">
        <f>IFERROR(IF(G20="","",H20/G20),"")</f>
      </c>
    </row>
    <row r="21" spans="1:9" x14ac:dyDescent="0.25">
      <c r="A21" s="9"/>
      <c r="B21" s="10"/>
      <c r="C21" s="14"/>
      <c r="D21" s="10"/>
      <c r="E21" s="14"/>
      <c r="F21" s="15">
        <f>IFERROR(IF(B21="","",(B21+D21)/(1-C21)),"rever %")</f>
      </c>
      <c r="G21" s="16">
        <f>IFERROR(IF(B21="","",(B21+D21)/(1-C21-E21)),"rever %")</f>
      </c>
      <c r="H21" s="15">
        <f>IFERROR(IF(G21="","",G21-B21-D21-G21*C21),"")</f>
      </c>
      <c r="I21" s="17">
        <f>IFERROR(IF(G21="","",H21/G21),"")</f>
      </c>
    </row>
    <row r="22" spans="1:9" x14ac:dyDescent="0.25">
      <c r="A22" s="9"/>
      <c r="B22" s="10"/>
      <c r="C22" s="14"/>
      <c r="D22" s="10"/>
      <c r="E22" s="14"/>
      <c r="F22" s="15">
        <f>IFERROR(IF(B22="","",(B22+D22)/(1-C22)),"rever %")</f>
      </c>
      <c r="G22" s="16">
        <f>IFERROR(IF(B22="","",(B22+D22)/(1-C22-E22)),"rever %")</f>
      </c>
      <c r="H22" s="15">
        <f>IFERROR(IF(G22="","",G22-B22-D22-G22*C22),"")</f>
      </c>
      <c r="I22" s="17">
        <f>IFERROR(IF(G22="","",H22/G22),"")</f>
      </c>
    </row>
    <row r="23" spans="1:9" x14ac:dyDescent="0.25">
      <c r="A23" s="9"/>
      <c r="B23" s="10"/>
      <c r="C23" s="14"/>
      <c r="D23" s="10"/>
      <c r="E23" s="14"/>
      <c r="F23" s="15">
        <f>IFERROR(IF(B23="","",(B23+D23)/(1-C23)),"rever %")</f>
      </c>
      <c r="G23" s="16">
        <f>IFERROR(IF(B23="","",(B23+D23)/(1-C23-E23)),"rever %")</f>
      </c>
      <c r="H23" s="15">
        <f>IFERROR(IF(G23="","",G23-B23-D23-G23*C23),"")</f>
      </c>
      <c r="I23" s="17">
        <f>IFERROR(IF(G23="","",H23/G23),"")</f>
      </c>
    </row>
    <row r="24" spans="1:9" x14ac:dyDescent="0.25">
      <c r="A24" s="9"/>
      <c r="B24" s="10"/>
      <c r="C24" s="14"/>
      <c r="D24" s="10"/>
      <c r="E24" s="14"/>
      <c r="F24" s="15">
        <f>IFERROR(IF(B24="","",(B24+D24)/(1-C24)),"rever %")</f>
      </c>
      <c r="G24" s="16">
        <f>IFERROR(IF(B24="","",(B24+D24)/(1-C24-E24)),"rever %")</f>
      </c>
      <c r="H24" s="15">
        <f>IFERROR(IF(G24="","",G24-B24-D24-G24*C24),"")</f>
      </c>
      <c r="I24" s="17">
        <f>IFERROR(IF(G24="","",H24/G24),"")</f>
      </c>
    </row>
    <row r="25" spans="1:9" x14ac:dyDescent="0.25">
      <c r="A25" s="9"/>
      <c r="B25" s="10"/>
      <c r="C25" s="14"/>
      <c r="D25" s="10"/>
      <c r="E25" s="14"/>
      <c r="F25" s="15">
        <f>IFERROR(IF(B25="","",(B25+D25)/(1-C25)),"rever %")</f>
      </c>
      <c r="G25" s="16">
        <f>IFERROR(IF(B25="","",(B25+D25)/(1-C25-E25)),"rever %")</f>
      </c>
      <c r="H25" s="15">
        <f>IFERROR(IF(G25="","",G25-B25-D25-G25*C25),"")</f>
      </c>
      <c r="I25" s="17">
        <f>IFERROR(IF(G25="","",H25/G25),"")</f>
      </c>
    </row>
    <row r="26" spans="1:9" x14ac:dyDescent="0.25">
      <c r="A26" s="9"/>
      <c r="B26" s="10"/>
      <c r="C26" s="14"/>
      <c r="D26" s="10"/>
      <c r="E26" s="14"/>
      <c r="F26" s="15">
        <f>IFERROR(IF(B26="","",(B26+D26)/(1-C26)),"rever %")</f>
      </c>
      <c r="G26" s="16">
        <f>IFERROR(IF(B26="","",(B26+D26)/(1-C26-E26)),"rever %")</f>
      </c>
      <c r="H26" s="15">
        <f>IFERROR(IF(G26="","",G26-B26-D26-G26*C26),"")</f>
      </c>
      <c r="I26" s="17">
        <f>IFERROR(IF(G26="","",H26/G26),"")</f>
      </c>
    </row>
    <row r="27" spans="1:9" x14ac:dyDescent="0.25">
      <c r="A27" s="9"/>
      <c r="B27" s="10"/>
      <c r="C27" s="14"/>
      <c r="D27" s="10"/>
      <c r="E27" s="14"/>
      <c r="F27" s="15">
        <f>IFERROR(IF(B27="","",(B27+D27)/(1-C27)),"rever %")</f>
      </c>
      <c r="G27" s="16">
        <f>IFERROR(IF(B27="","",(B27+D27)/(1-C27-E27)),"rever %")</f>
      </c>
      <c r="H27" s="15">
        <f>IFERROR(IF(G27="","",G27-B27-D27-G27*C27),"")</f>
      </c>
      <c r="I27" s="17">
        <f>IFERROR(IF(G27="","",H27/G27),"")</f>
      </c>
    </row>
    <row r="28" spans="1:9" x14ac:dyDescent="0.25">
      <c r="A28" s="9"/>
      <c r="B28" s="10"/>
      <c r="C28" s="14"/>
      <c r="D28" s="10"/>
      <c r="E28" s="14"/>
      <c r="F28" s="15">
        <f>IFERROR(IF(B28="","",(B28+D28)/(1-C28)),"rever %")</f>
      </c>
      <c r="G28" s="16">
        <f>IFERROR(IF(B28="","",(B28+D28)/(1-C28-E28)),"rever %")</f>
      </c>
      <c r="H28" s="15">
        <f>IFERROR(IF(G28="","",G28-B28-D28-G28*C28),"")</f>
      </c>
      <c r="I28" s="17">
        <f>IFERROR(IF(G28="","",H28/G28),"")</f>
      </c>
    </row>
    <row r="29" spans="1:9" x14ac:dyDescent="0.25">
      <c r="A29" s="9"/>
      <c r="B29" s="10"/>
      <c r="C29" s="14"/>
      <c r="D29" s="10"/>
      <c r="E29" s="14"/>
      <c r="F29" s="15">
        <f>IFERROR(IF(B29="","",(B29+D29)/(1-C29)),"rever %")</f>
      </c>
      <c r="G29" s="16">
        <f>IFERROR(IF(B29="","",(B29+D29)/(1-C29-E29)),"rever %")</f>
      </c>
      <c r="H29" s="15">
        <f>IFERROR(IF(G29="","",G29-B29-D29-G29*C29),"")</f>
      </c>
      <c r="I29" s="17">
        <f>IFERROR(IF(G29="","",H29/G29),"")</f>
      </c>
    </row>
    <row r="30" spans="1:9" x14ac:dyDescent="0.25">
      <c r="A30" s="9"/>
      <c r="B30" s="10"/>
      <c r="C30" s="14"/>
      <c r="D30" s="10"/>
      <c r="E30" s="14"/>
      <c r="F30" s="15">
        <f>IFERROR(IF(B30="","",(B30+D30)/(1-C30)),"rever %")</f>
      </c>
      <c r="G30" s="16">
        <f>IFERROR(IF(B30="","",(B30+D30)/(1-C30-E30)),"rever %")</f>
      </c>
      <c r="H30" s="15">
        <f>IFERROR(IF(G30="","",G30-B30-D30-G30*C30),"")</f>
      </c>
      <c r="I30" s="17">
        <f>IFERROR(IF(G30="","",H30/G30),"")</f>
      </c>
    </row>
    <row r="31" spans="1:9" x14ac:dyDescent="0.25">
      <c r="A31" s="9"/>
      <c r="B31" s="10"/>
      <c r="C31" s="14"/>
      <c r="D31" s="10"/>
      <c r="E31" s="14"/>
      <c r="F31" s="15">
        <f>IFERROR(IF(B31="","",(B31+D31)/(1-C31)),"rever %")</f>
      </c>
      <c r="G31" s="16">
        <f>IFERROR(IF(B31="","",(B31+D31)/(1-C31-E31)),"rever %")</f>
      </c>
      <c r="H31" s="15">
        <f>IFERROR(IF(G31="","",G31-B31-D31-G31*C31),"")</f>
      </c>
      <c r="I31" s="17">
        <f>IFERROR(IF(G31="","",H31/G31),"")</f>
      </c>
    </row>
    <row r="32" spans="1:9" x14ac:dyDescent="0.25">
      <c r="A32" s="9"/>
      <c r="B32" s="10"/>
      <c r="C32" s="14"/>
      <c r="D32" s="10"/>
      <c r="E32" s="14"/>
      <c r="F32" s="15">
        <f>IFERROR(IF(B32="","",(B32+D32)/(1-C32)),"rever %")</f>
      </c>
      <c r="G32" s="16">
        <f>IFERROR(IF(B32="","",(B32+D32)/(1-C32-E32)),"rever %")</f>
      </c>
      <c r="H32" s="15">
        <f>IFERROR(IF(G32="","",G32-B32-D32-G32*C32),"")</f>
      </c>
      <c r="I32" s="17">
        <f>IFERROR(IF(G32="","",H32/G32),"")</f>
      </c>
    </row>
    <row r="33" spans="1:9" x14ac:dyDescent="0.25">
      <c r="A33" s="9"/>
      <c r="B33" s="10"/>
      <c r="C33" s="14"/>
      <c r="D33" s="10"/>
      <c r="E33" s="14"/>
      <c r="F33" s="15">
        <f>IFERROR(IF(B33="","",(B33+D33)/(1-C33)),"rever %")</f>
      </c>
      <c r="G33" s="16">
        <f>IFERROR(IF(B33="","",(B33+D33)/(1-C33-E33)),"rever %")</f>
      </c>
      <c r="H33" s="15">
        <f>IFERROR(IF(G33="","",G33-B33-D33-G33*C33),"")</f>
      </c>
      <c r="I33" s="17">
        <f>IFERROR(IF(G33="","",H33/G33),"")</f>
      </c>
    </row>
    <row r="34" spans="1:9" x14ac:dyDescent="0.25">
      <c r="A34" s="9"/>
      <c r="B34" s="10"/>
      <c r="C34" s="14"/>
      <c r="D34" s="10"/>
      <c r="E34" s="14"/>
      <c r="F34" s="15">
        <f>IFERROR(IF(B34="","",(B34+D34)/(1-C34)),"rever %")</f>
      </c>
      <c r="G34" s="16">
        <f>IFERROR(IF(B34="","",(B34+D34)/(1-C34-E34)),"rever %")</f>
      </c>
      <c r="H34" s="15">
        <f>IFERROR(IF(G34="","",G34-B34-D34-G34*C34),"")</f>
      </c>
      <c r="I34" s="17">
        <f>IFERROR(IF(G34="","",H34/G34),"")</f>
      </c>
    </row>
    <row r="35" spans="1:9" x14ac:dyDescent="0.25">
      <c r="A35" s="9"/>
      <c r="B35" s="10"/>
      <c r="C35" s="14"/>
      <c r="D35" s="10"/>
      <c r="E35" s="14"/>
      <c r="F35" s="15">
        <f>IFERROR(IF(B35="","",(B35+D35)/(1-C35)),"rever %")</f>
      </c>
      <c r="G35" s="16">
        <f>IFERROR(IF(B35="","",(B35+D35)/(1-C35-E35)),"rever %")</f>
      </c>
      <c r="H35" s="15">
        <f>IFERROR(IF(G35="","",G35-B35-D35-G35*C35),"")</f>
      </c>
      <c r="I35" s="17">
        <f>IFERROR(IF(G35="","",H35/G35),"")</f>
      </c>
    </row>
    <row r="36" spans="1:9" x14ac:dyDescent="0.25">
      <c r="A36" s="9"/>
      <c r="B36" s="10"/>
      <c r="C36" s="14"/>
      <c r="D36" s="10"/>
      <c r="E36" s="14"/>
      <c r="F36" s="15">
        <f>IFERROR(IF(B36="","",(B36+D36)/(1-C36)),"rever %")</f>
      </c>
      <c r="G36" s="16">
        <f>IFERROR(IF(B36="","",(B36+D36)/(1-C36-E36)),"rever %")</f>
      </c>
      <c r="H36" s="15">
        <f>IFERROR(IF(G36="","",G36-B36-D36-G36*C36),"")</f>
      </c>
      <c r="I36" s="17">
        <f>IFERROR(IF(G36="","",H36/G36),"")</f>
      </c>
    </row>
    <row r="37" spans="1:9" x14ac:dyDescent="0.25">
      <c r="A37" s="9"/>
      <c r="B37" s="10"/>
      <c r="C37" s="14"/>
      <c r="D37" s="10"/>
      <c r="E37" s="14"/>
      <c r="F37" s="15">
        <f>IFERROR(IF(B37="","",(B37+D37)/(1-C37)),"rever %")</f>
      </c>
      <c r="G37" s="16">
        <f>IFERROR(IF(B37="","",(B37+D37)/(1-C37-E37)),"rever %")</f>
      </c>
      <c r="H37" s="15">
        <f>IFERROR(IF(G37="","",G37-B37-D37-G37*C37),"")</f>
      </c>
      <c r="I37" s="17">
        <f>IFERROR(IF(G37="","",H37/G37),"")</f>
      </c>
    </row>
    <row r="38" spans="1:9" x14ac:dyDescent="0.25">
      <c r="A38" s="9"/>
      <c r="B38" s="10"/>
      <c r="C38" s="14"/>
      <c r="D38" s="10"/>
      <c r="E38" s="14"/>
      <c r="F38" s="15">
        <f>IFERROR(IF(B38="","",(B38+D38)/(1-C38)),"rever %")</f>
      </c>
      <c r="G38" s="16">
        <f>IFERROR(IF(B38="","",(B38+D38)/(1-C38-E38)),"rever %")</f>
      </c>
      <c r="H38" s="15">
        <f>IFERROR(IF(G38="","",G38-B38-D38-G38*C38),"")</f>
      </c>
      <c r="I38" s="17">
        <f>IFERROR(IF(G38="","",H38/G38),"")</f>
      </c>
    </row>
    <row r="39" spans="1:9" x14ac:dyDescent="0.25">
      <c r="A39" s="9"/>
      <c r="B39" s="10"/>
      <c r="C39" s="14"/>
      <c r="D39" s="10"/>
      <c r="E39" s="14"/>
      <c r="F39" s="15">
        <f>IFERROR(IF(B39="","",(B39+D39)/(1-C39)),"rever %")</f>
      </c>
      <c r="G39" s="16">
        <f>IFERROR(IF(B39="","",(B39+D39)/(1-C39-E39)),"rever %")</f>
      </c>
      <c r="H39" s="15">
        <f>IFERROR(IF(G39="","",G39-B39-D39-G39*C39),"")</f>
      </c>
      <c r="I39" s="17">
        <f>IFERROR(IF(G39="","",H39/G39),"")</f>
      </c>
    </row>
    <row r="40" spans="1:9" x14ac:dyDescent="0.25">
      <c r="A40" s="9"/>
      <c r="B40" s="10"/>
      <c r="C40" s="14"/>
      <c r="D40" s="10"/>
      <c r="E40" s="14"/>
      <c r="F40" s="15">
        <f>IFERROR(IF(B40="","",(B40+D40)/(1-C40)),"rever %")</f>
      </c>
      <c r="G40" s="16">
        <f>IFERROR(IF(B40="","",(B40+D40)/(1-C40-E40)),"rever %")</f>
      </c>
      <c r="H40" s="15">
        <f>IFERROR(IF(G40="","",G40-B40-D40-G40*C40),"")</f>
      </c>
      <c r="I40" s="17">
        <f>IFERROR(IF(G40="","",H40/G40),"")</f>
      </c>
    </row>
    <row r="41" spans="1:9" x14ac:dyDescent="0.25">
      <c r="A41" s="9"/>
      <c r="B41" s="10"/>
      <c r="C41" s="14"/>
      <c r="D41" s="10"/>
      <c r="E41" s="14"/>
      <c r="F41" s="15">
        <f>IFERROR(IF(B41="","",(B41+D41)/(1-C41)),"rever %")</f>
      </c>
      <c r="G41" s="16">
        <f>IFERROR(IF(B41="","",(B41+D41)/(1-C41-E41)),"rever %")</f>
      </c>
      <c r="H41" s="15">
        <f>IFERROR(IF(G41="","",G41-B41-D41-G41*C41),"")</f>
      </c>
      <c r="I41" s="17">
        <f>IFERROR(IF(G41="","",H41/G41),"")</f>
      </c>
    </row>
    <row r="42" spans="1:9" x14ac:dyDescent="0.25">
      <c r="A42" s="9"/>
      <c r="B42" s="10"/>
      <c r="C42" s="14"/>
      <c r="D42" s="10"/>
      <c r="E42" s="14"/>
      <c r="F42" s="15">
        <f>IFERROR(IF(B42="","",(B42+D42)/(1-C42)),"rever %")</f>
      </c>
      <c r="G42" s="16">
        <f>IFERROR(IF(B42="","",(B42+D42)/(1-C42-E42)),"rever %")</f>
      </c>
      <c r="H42" s="15">
        <f>IFERROR(IF(G42="","",G42-B42-D42-G42*C42),"")</f>
      </c>
      <c r="I42" s="17">
        <f>IFERROR(IF(G42="","",H42/G42),"")</f>
      </c>
    </row>
    <row r="43" spans="1:9" x14ac:dyDescent="0.25">
      <c r="A43" s="9"/>
      <c r="B43" s="10"/>
      <c r="C43" s="14"/>
      <c r="D43" s="10"/>
      <c r="E43" s="14"/>
      <c r="F43" s="15">
        <f>IFERROR(IF(B43="","",(B43+D43)/(1-C43)),"rever %")</f>
      </c>
      <c r="G43" s="16">
        <f>IFERROR(IF(B43="","",(B43+D43)/(1-C43-E43)),"rever %")</f>
      </c>
      <c r="H43" s="15">
        <f>IFERROR(IF(G43="","",G43-B43-D43-G43*C43),"")</f>
      </c>
      <c r="I43" s="17">
        <f>IFERROR(IF(G43="","",H43/G43),"")</f>
      </c>
    </row>
    <row r="44" spans="1:9" x14ac:dyDescent="0.25">
      <c r="A44" s="9"/>
      <c r="B44" s="10"/>
      <c r="C44" s="14"/>
      <c r="D44" s="10"/>
      <c r="E44" s="14"/>
      <c r="F44" s="15">
        <f>IFERROR(IF(B44="","",(B44+D44)/(1-C44)),"rever %")</f>
      </c>
      <c r="G44" s="16">
        <f>IFERROR(IF(B44="","",(B44+D44)/(1-C44-E44)),"rever %")</f>
      </c>
      <c r="H44" s="15">
        <f>IFERROR(IF(G44="","",G44-B44-D44-G44*C44),"")</f>
      </c>
      <c r="I44" s="17">
        <f>IFERROR(IF(G44="","",H44/G44),"")</f>
      </c>
    </row>
    <row r="45" spans="1:9" x14ac:dyDescent="0.25">
      <c r="A45" s="9"/>
      <c r="B45" s="10"/>
      <c r="C45" s="14"/>
      <c r="D45" s="10"/>
      <c r="E45" s="14"/>
      <c r="F45" s="15">
        <f>IFERROR(IF(B45="","",(B45+D45)/(1-C45)),"rever %")</f>
      </c>
      <c r="G45" s="16">
        <f>IFERROR(IF(B45="","",(B45+D45)/(1-C45-E45)),"rever %")</f>
      </c>
      <c r="H45" s="15">
        <f>IFERROR(IF(G45="","",G45-B45-D45-G45*C45),"")</f>
      </c>
      <c r="I45" s="17">
        <f>IFERROR(IF(G45="","",H45/G45),"")</f>
      </c>
    </row>
    <row r="46" spans="1:9" x14ac:dyDescent="0.25">
      <c r="A46" s="9"/>
      <c r="B46" s="10"/>
      <c r="C46" s="14"/>
      <c r="D46" s="10"/>
      <c r="E46" s="14"/>
      <c r="F46" s="15">
        <f>IFERROR(IF(B46="","",(B46+D46)/(1-C46)),"rever %")</f>
      </c>
      <c r="G46" s="16">
        <f>IFERROR(IF(B46="","",(B46+D46)/(1-C46-E46)),"rever %")</f>
      </c>
      <c r="H46" s="15">
        <f>IFERROR(IF(G46="","",G46-B46-D46-G46*C46),"")</f>
      </c>
      <c r="I46" s="17">
        <f>IFERROR(IF(G46="","",H46/G46),"")</f>
      </c>
    </row>
    <row r="47" spans="1:9" x14ac:dyDescent="0.25">
      <c r="A47" s="9"/>
      <c r="B47" s="10"/>
      <c r="C47" s="14"/>
      <c r="D47" s="10"/>
      <c r="E47" s="14"/>
      <c r="F47" s="15">
        <f>IFERROR(IF(B47="","",(B47+D47)/(1-C47)),"rever %")</f>
      </c>
      <c r="G47" s="16">
        <f>IFERROR(IF(B47="","",(B47+D47)/(1-C47-E47)),"rever %")</f>
      </c>
      <c r="H47" s="15">
        <f>IFERROR(IF(G47="","",G47-B47-D47-G47*C47),"")</f>
      </c>
      <c r="I47" s="17">
        <f>IFERROR(IF(G47="","",H47/G47),"")</f>
      </c>
    </row>
    <row r="48" spans="1:9" x14ac:dyDescent="0.25">
      <c r="A48" s="9"/>
      <c r="B48" s="10"/>
      <c r="C48" s="14"/>
      <c r="D48" s="10"/>
      <c r="E48" s="14"/>
      <c r="F48" s="15">
        <f>IFERROR(IF(B48="","",(B48+D48)/(1-C48)),"rever %")</f>
      </c>
      <c r="G48" s="16">
        <f>IFERROR(IF(B48="","",(B48+D48)/(1-C48-E48)),"rever %")</f>
      </c>
      <c r="H48" s="15">
        <f>IFERROR(IF(G48="","",G48-B48-D48-G48*C48),"")</f>
      </c>
      <c r="I48" s="17">
        <f>IFERROR(IF(G48="","",H48/G48),"")</f>
      </c>
    </row>
    <row r="49" spans="1:9" x14ac:dyDescent="0.25">
      <c r="A49" s="9"/>
      <c r="B49" s="10"/>
      <c r="C49" s="14"/>
      <c r="D49" s="10"/>
      <c r="E49" s="14"/>
      <c r="F49" s="15">
        <f>IFERROR(IF(B49="","",(B49+D49)/(1-C49)),"rever %")</f>
      </c>
      <c r="G49" s="16">
        <f>IFERROR(IF(B49="","",(B49+D49)/(1-C49-E49)),"rever %")</f>
      </c>
      <c r="H49" s="15">
        <f>IFERROR(IF(G49="","",G49-B49-D49-G49*C49),"")</f>
      </c>
      <c r="I49" s="17">
        <f>IFERROR(IF(G49="","",H49/G49),"")</f>
      </c>
    </row>
    <row r="50" spans="1:9" x14ac:dyDescent="0.25">
      <c r="A50" s="9"/>
      <c r="B50" s="10"/>
      <c r="C50" s="14"/>
      <c r="D50" s="10"/>
      <c r="E50" s="14"/>
      <c r="F50" s="15">
        <f>IFERROR(IF(B50="","",(B50+D50)/(1-C50)),"rever %")</f>
      </c>
      <c r="G50" s="16">
        <f>IFERROR(IF(B50="","",(B50+D50)/(1-C50-E50)),"rever %")</f>
      </c>
      <c r="H50" s="15">
        <f>IFERROR(IF(G50="","",G50-B50-D50-G50*C50),"")</f>
      </c>
      <c r="I50" s="17">
        <f>IFERROR(IF(G50="","",H50/G50),"")</f>
      </c>
    </row>
    <row r="51" spans="1:9" x14ac:dyDescent="0.25">
      <c r="A51" s="9"/>
      <c r="B51" s="10"/>
      <c r="C51" s="14"/>
      <c r="D51" s="10"/>
      <c r="E51" s="14"/>
      <c r="F51" s="15">
        <f>IFERROR(IF(B51="","",(B51+D51)/(1-C51)),"rever %")</f>
      </c>
      <c r="G51" s="16">
        <f>IFERROR(IF(B51="","",(B51+D51)/(1-C51-E51)),"rever %")</f>
      </c>
      <c r="H51" s="15">
        <f>IFERROR(IF(G51="","",G51-B51-D51-G51*C51),"")</f>
      </c>
      <c r="I51" s="17">
        <f>IFERROR(IF(G51="","",H51/G51),"")</f>
      </c>
    </row>
    <row r="52" spans="1:9" x14ac:dyDescent="0.25">
      <c r="A52" s="9"/>
      <c r="B52" s="10"/>
      <c r="C52" s="14"/>
      <c r="D52" s="10"/>
      <c r="E52" s="14"/>
      <c r="F52" s="15">
        <f>IFERROR(IF(B52="","",(B52+D52)/(1-C52)),"rever %")</f>
      </c>
      <c r="G52" s="16">
        <f>IFERROR(IF(B52="","",(B52+D52)/(1-C52-E52)),"rever %")</f>
      </c>
      <c r="H52" s="15">
        <f>IFERROR(IF(G52="","",G52-B52-D52-G52*C52),"")</f>
      </c>
      <c r="I52" s="17">
        <f>IFERROR(IF(G52="","",H52/G52),"")</f>
      </c>
    </row>
    <row r="54" spans="1:9" x14ac:dyDescent="0.25">
      <c r="A54" s="18" t="s">
        <v>36</v>
      </c>
      <c r="B54" s="18"/>
      <c r="C54" s="18"/>
      <c r="D54" s="18"/>
      <c r="E54" s="18"/>
      <c r="F54" s="18"/>
      <c r="G54" s="18"/>
      <c r="H54" s="18"/>
      <c r="I54" s="18"/>
    </row>
  </sheetData>
  <mergeCells count="2">
    <mergeCell ref="A1:I1"/>
    <mergeCell ref="A54:I5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3"/>
  <sheetViews>
    <sheetView workbookViewId="0" showGridLines="0"/>
  </sheetViews>
  <sheetFormatPr defaultRowHeight="15" outlineLevelRow="0" outlineLevelCol="0" x14ac:dyDescent="55"/>
  <cols>
    <col min="1" max="1" width="13" customWidth="1"/>
    <col min="2" max="2" width="26" customWidth="1"/>
    <col min="3" max="3" width="16" customWidth="1"/>
    <col min="4" max="4" width="12" customWidth="1"/>
    <col min="5" max="5" width="13" customWidth="1"/>
    <col min="6" max="6" width="14" customWidth="1"/>
    <col min="7" max="7" width="13" customWidth="1"/>
    <col min="8" max="8" width="14" customWidth="1"/>
  </cols>
  <sheetData>
    <row r="1" spans="1:8" x14ac:dyDescent="0.25">
      <c r="A1" s="7" t="s">
        <v>37</v>
      </c>
      <c r="B1" s="7"/>
      <c r="C1" s="7"/>
      <c r="D1" s="7"/>
      <c r="E1" s="7"/>
      <c r="F1" s="7"/>
      <c r="G1" s="7"/>
      <c r="H1" s="7"/>
    </row>
    <row r="2" ht="32" customHeight="1" spans="1:8" x14ac:dyDescent="0.25">
      <c r="A2" s="8" t="s">
        <v>38</v>
      </c>
      <c r="B2" s="8" t="s">
        <v>39</v>
      </c>
      <c r="C2" s="8" t="s">
        <v>40</v>
      </c>
      <c r="D2" s="8" t="s">
        <v>15</v>
      </c>
      <c r="E2" s="8" t="s">
        <v>41</v>
      </c>
      <c r="F2" s="8" t="s">
        <v>42</v>
      </c>
      <c r="G2" s="8" t="s">
        <v>43</v>
      </c>
      <c r="H2" s="8" t="s">
        <v>44</v>
      </c>
    </row>
    <row r="3" spans="1:8" x14ac:dyDescent="0.25">
      <c r="A3" s="13" t="s">
        <v>45</v>
      </c>
      <c r="B3" s="9" t="s">
        <v>18</v>
      </c>
      <c r="C3" s="13" t="s">
        <v>46</v>
      </c>
      <c r="D3" s="11">
        <v>3</v>
      </c>
      <c r="E3" s="10">
        <v>60</v>
      </c>
      <c r="F3" s="15">
        <f>IF(D3="","",D3*E3)</f>
      </c>
      <c r="G3" s="15">
        <f>IF(D3="","",D3*IFERROR(VLOOKUP(B3,'Controle de Estoque'!$A$3:$C$52,3,0),IFERROR(VLOOKUP(B3,Precificação!$A$3:$B$52,2,0),0)))</f>
      </c>
      <c r="H3" s="16">
        <f>IF(D3="","",F3-G3)</f>
      </c>
    </row>
    <row r="4" spans="1:8" x14ac:dyDescent="0.25">
      <c r="A4" s="13" t="s">
        <v>47</v>
      </c>
      <c r="B4" s="9" t="s">
        <v>21</v>
      </c>
      <c r="C4" s="13" t="s">
        <v>48</v>
      </c>
      <c r="D4" s="11">
        <v>2</v>
      </c>
      <c r="E4" s="10">
        <v>83.67</v>
      </c>
      <c r="F4" s="15">
        <f>IF(D4="","",D4*E4)</f>
      </c>
      <c r="G4" s="15">
        <f>IF(D4="","",D4*IFERROR(VLOOKUP(B4,'Controle de Estoque'!$A$3:$C$52,3,0),IFERROR(VLOOKUP(B4,Precificação!$A$3:$B$52,2,0),0)))</f>
      </c>
      <c r="H4" s="16">
        <f>IF(D4="","",F4-G4)</f>
      </c>
    </row>
    <row r="5" spans="1:8" x14ac:dyDescent="0.25">
      <c r="A5" s="13" t="s">
        <v>49</v>
      </c>
      <c r="B5" s="9" t="s">
        <v>24</v>
      </c>
      <c r="C5" s="13" t="s">
        <v>50</v>
      </c>
      <c r="D5" s="11">
        <v>1</v>
      </c>
      <c r="E5" s="10">
        <v>70</v>
      </c>
      <c r="F5" s="15">
        <f>IF(D5="","",D5*E5)</f>
      </c>
      <c r="G5" s="15">
        <f>IF(D5="","",D5*IFERROR(VLOOKUP(B5,'Controle de Estoque'!$A$3:$C$52,3,0),IFERROR(VLOOKUP(B5,Precificação!$A$3:$B$52,2,0),0)))</f>
      </c>
      <c r="H5" s="16">
        <f>IF(D5="","",F5-G5)</f>
      </c>
    </row>
    <row r="6" spans="1:8" x14ac:dyDescent="0.25">
      <c r="A6" s="13"/>
      <c r="B6" s="9"/>
      <c r="C6" s="13"/>
      <c r="D6" s="11"/>
      <c r="E6" s="10"/>
      <c r="F6" s="15">
        <f>IF(D6="","",D6*E6)</f>
      </c>
      <c r="G6" s="15">
        <f>IF(D6="","",D6*IFERROR(VLOOKUP(B6,'Controle de Estoque'!$A$3:$C$52,3,0),IFERROR(VLOOKUP(B6,Precificação!$A$3:$B$52,2,0),0)))</f>
      </c>
      <c r="H6" s="16">
        <f>IF(D6="","",F6-G6)</f>
      </c>
    </row>
    <row r="7" spans="1:8" x14ac:dyDescent="0.25">
      <c r="A7" s="13"/>
      <c r="B7" s="9"/>
      <c r="C7" s="13"/>
      <c r="D7" s="11"/>
      <c r="E7" s="10"/>
      <c r="F7" s="15">
        <f>IF(D7="","",D7*E7)</f>
      </c>
      <c r="G7" s="15">
        <f>IF(D7="","",D7*IFERROR(VLOOKUP(B7,'Controle de Estoque'!$A$3:$C$52,3,0),IFERROR(VLOOKUP(B7,Precificação!$A$3:$B$52,2,0),0)))</f>
      </c>
      <c r="H7" s="16">
        <f>IF(D7="","",F7-G7)</f>
      </c>
    </row>
    <row r="8" spans="1:8" x14ac:dyDescent="0.25">
      <c r="A8" s="13"/>
      <c r="B8" s="9"/>
      <c r="C8" s="13"/>
      <c r="D8" s="11"/>
      <c r="E8" s="10"/>
      <c r="F8" s="15">
        <f>IF(D8="","",D8*E8)</f>
      </c>
      <c r="G8" s="15">
        <f>IF(D8="","",D8*IFERROR(VLOOKUP(B8,'Controle de Estoque'!$A$3:$C$52,3,0),IFERROR(VLOOKUP(B8,Precificação!$A$3:$B$52,2,0),0)))</f>
      </c>
      <c r="H8" s="16">
        <f>IF(D8="","",F8-G8)</f>
      </c>
    </row>
    <row r="9" spans="1:8" x14ac:dyDescent="0.25">
      <c r="A9" s="13"/>
      <c r="B9" s="9"/>
      <c r="C9" s="13"/>
      <c r="D9" s="11"/>
      <c r="E9" s="10"/>
      <c r="F9" s="15">
        <f>IF(D9="","",D9*E9)</f>
      </c>
      <c r="G9" s="15">
        <f>IF(D9="","",D9*IFERROR(VLOOKUP(B9,'Controle de Estoque'!$A$3:$C$52,3,0),IFERROR(VLOOKUP(B9,Precificação!$A$3:$B$52,2,0),0)))</f>
      </c>
      <c r="H9" s="16">
        <f>IF(D9="","",F9-G9)</f>
      </c>
    </row>
    <row r="10" spans="1:8" x14ac:dyDescent="0.25">
      <c r="A10" s="13"/>
      <c r="B10" s="9"/>
      <c r="C10" s="13"/>
      <c r="D10" s="11"/>
      <c r="E10" s="10"/>
      <c r="F10" s="15">
        <f>IF(D10="","",D10*E10)</f>
      </c>
      <c r="G10" s="15">
        <f>IF(D10="","",D10*IFERROR(VLOOKUP(B10,'Controle de Estoque'!$A$3:$C$52,3,0),IFERROR(VLOOKUP(B10,Precificação!$A$3:$B$52,2,0),0)))</f>
      </c>
      <c r="H10" s="16">
        <f>IF(D10="","",F10-G10)</f>
      </c>
    </row>
    <row r="11" spans="1:8" x14ac:dyDescent="0.25">
      <c r="A11" s="13"/>
      <c r="B11" s="9"/>
      <c r="C11" s="13"/>
      <c r="D11" s="11"/>
      <c r="E11" s="10"/>
      <c r="F11" s="15">
        <f>IF(D11="","",D11*E11)</f>
      </c>
      <c r="G11" s="15">
        <f>IF(D11="","",D11*IFERROR(VLOOKUP(B11,'Controle de Estoque'!$A$3:$C$52,3,0),IFERROR(VLOOKUP(B11,Precificação!$A$3:$B$52,2,0),0)))</f>
      </c>
      <c r="H11" s="16">
        <f>IF(D11="","",F11-G11)</f>
      </c>
    </row>
    <row r="12" spans="1:8" x14ac:dyDescent="0.25">
      <c r="A12" s="13"/>
      <c r="B12" s="9"/>
      <c r="C12" s="13"/>
      <c r="D12" s="11"/>
      <c r="E12" s="10"/>
      <c r="F12" s="15">
        <f>IF(D12="","",D12*E12)</f>
      </c>
      <c r="G12" s="15">
        <f>IF(D12="","",D12*IFERROR(VLOOKUP(B12,'Controle de Estoque'!$A$3:$C$52,3,0),IFERROR(VLOOKUP(B12,Precificação!$A$3:$B$52,2,0),0)))</f>
      </c>
      <c r="H12" s="16">
        <f>IF(D12="","",F12-G12)</f>
      </c>
    </row>
    <row r="13" spans="1:8" x14ac:dyDescent="0.25">
      <c r="A13" s="13"/>
      <c r="B13" s="9"/>
      <c r="C13" s="13"/>
      <c r="D13" s="11"/>
      <c r="E13" s="10"/>
      <c r="F13" s="15">
        <f>IF(D13="","",D13*E13)</f>
      </c>
      <c r="G13" s="15">
        <f>IF(D13="","",D13*IFERROR(VLOOKUP(B13,'Controle de Estoque'!$A$3:$C$52,3,0),IFERROR(VLOOKUP(B13,Precificação!$A$3:$B$52,2,0),0)))</f>
      </c>
      <c r="H13" s="16">
        <f>IF(D13="","",F13-G13)</f>
      </c>
    </row>
    <row r="14" spans="1:8" x14ac:dyDescent="0.25">
      <c r="A14" s="13"/>
      <c r="B14" s="9"/>
      <c r="C14" s="13"/>
      <c r="D14" s="11"/>
      <c r="E14" s="10"/>
      <c r="F14" s="15">
        <f>IF(D14="","",D14*E14)</f>
      </c>
      <c r="G14" s="15">
        <f>IF(D14="","",D14*IFERROR(VLOOKUP(B14,'Controle de Estoque'!$A$3:$C$52,3,0),IFERROR(VLOOKUP(B14,Precificação!$A$3:$B$52,2,0),0)))</f>
      </c>
      <c r="H14" s="16">
        <f>IF(D14="","",F14-G14)</f>
      </c>
    </row>
    <row r="15" spans="1:8" x14ac:dyDescent="0.25">
      <c r="A15" s="13"/>
      <c r="B15" s="9"/>
      <c r="C15" s="13"/>
      <c r="D15" s="11"/>
      <c r="E15" s="10"/>
      <c r="F15" s="15">
        <f>IF(D15="","",D15*E15)</f>
      </c>
      <c r="G15" s="15">
        <f>IF(D15="","",D15*IFERROR(VLOOKUP(B15,'Controle de Estoque'!$A$3:$C$52,3,0),IFERROR(VLOOKUP(B15,Precificação!$A$3:$B$52,2,0),0)))</f>
      </c>
      <c r="H15" s="16">
        <f>IF(D15="","",F15-G15)</f>
      </c>
    </row>
    <row r="16" spans="1:8" x14ac:dyDescent="0.25">
      <c r="A16" s="13"/>
      <c r="B16" s="9"/>
      <c r="C16" s="13"/>
      <c r="D16" s="11"/>
      <c r="E16" s="10"/>
      <c r="F16" s="15">
        <f>IF(D16="","",D16*E16)</f>
      </c>
      <c r="G16" s="15">
        <f>IF(D16="","",D16*IFERROR(VLOOKUP(B16,'Controle de Estoque'!$A$3:$C$52,3,0),IFERROR(VLOOKUP(B16,Precificação!$A$3:$B$52,2,0),0)))</f>
      </c>
      <c r="H16" s="16">
        <f>IF(D16="","",F16-G16)</f>
      </c>
    </row>
    <row r="17" spans="1:8" x14ac:dyDescent="0.25">
      <c r="A17" s="13"/>
      <c r="B17" s="9"/>
      <c r="C17" s="13"/>
      <c r="D17" s="11"/>
      <c r="E17" s="10"/>
      <c r="F17" s="15">
        <f>IF(D17="","",D17*E17)</f>
      </c>
      <c r="G17" s="15">
        <f>IF(D17="","",D17*IFERROR(VLOOKUP(B17,'Controle de Estoque'!$A$3:$C$52,3,0),IFERROR(VLOOKUP(B17,Precificação!$A$3:$B$52,2,0),0)))</f>
      </c>
      <c r="H17" s="16">
        <f>IF(D17="","",F17-G17)</f>
      </c>
    </row>
    <row r="18" spans="1:8" x14ac:dyDescent="0.25">
      <c r="A18" s="13"/>
      <c r="B18" s="9"/>
      <c r="C18" s="13"/>
      <c r="D18" s="11"/>
      <c r="E18" s="10"/>
      <c r="F18" s="15">
        <f>IF(D18="","",D18*E18)</f>
      </c>
      <c r="G18" s="15">
        <f>IF(D18="","",D18*IFERROR(VLOOKUP(B18,'Controle de Estoque'!$A$3:$C$52,3,0),IFERROR(VLOOKUP(B18,Precificação!$A$3:$B$52,2,0),0)))</f>
      </c>
      <c r="H18" s="16">
        <f>IF(D18="","",F18-G18)</f>
      </c>
    </row>
    <row r="19" spans="1:8" x14ac:dyDescent="0.25">
      <c r="A19" s="13"/>
      <c r="B19" s="9"/>
      <c r="C19" s="13"/>
      <c r="D19" s="11"/>
      <c r="E19" s="10"/>
      <c r="F19" s="15">
        <f>IF(D19="","",D19*E19)</f>
      </c>
      <c r="G19" s="15">
        <f>IF(D19="","",D19*IFERROR(VLOOKUP(B19,'Controle de Estoque'!$A$3:$C$52,3,0),IFERROR(VLOOKUP(B19,Precificação!$A$3:$B$52,2,0),0)))</f>
      </c>
      <c r="H19" s="16">
        <f>IF(D19="","",F19-G19)</f>
      </c>
    </row>
    <row r="20" spans="1:8" x14ac:dyDescent="0.25">
      <c r="A20" s="13"/>
      <c r="B20" s="9"/>
      <c r="C20" s="13"/>
      <c r="D20" s="11"/>
      <c r="E20" s="10"/>
      <c r="F20" s="15">
        <f>IF(D20="","",D20*E20)</f>
      </c>
      <c r="G20" s="15">
        <f>IF(D20="","",D20*IFERROR(VLOOKUP(B20,'Controle de Estoque'!$A$3:$C$52,3,0),IFERROR(VLOOKUP(B20,Precificação!$A$3:$B$52,2,0),0)))</f>
      </c>
      <c r="H20" s="16">
        <f>IF(D20="","",F20-G20)</f>
      </c>
    </row>
    <row r="21" spans="1:8" x14ac:dyDescent="0.25">
      <c r="A21" s="13"/>
      <c r="B21" s="9"/>
      <c r="C21" s="13"/>
      <c r="D21" s="11"/>
      <c r="E21" s="10"/>
      <c r="F21" s="15">
        <f>IF(D21="","",D21*E21)</f>
      </c>
      <c r="G21" s="15">
        <f>IF(D21="","",D21*IFERROR(VLOOKUP(B21,'Controle de Estoque'!$A$3:$C$52,3,0),IFERROR(VLOOKUP(B21,Precificação!$A$3:$B$52,2,0),0)))</f>
      </c>
      <c r="H21" s="16">
        <f>IF(D21="","",F21-G21)</f>
      </c>
    </row>
    <row r="22" spans="1:8" x14ac:dyDescent="0.25">
      <c r="A22" s="13"/>
      <c r="B22" s="9"/>
      <c r="C22" s="13"/>
      <c r="D22" s="11"/>
      <c r="E22" s="10"/>
      <c r="F22" s="15">
        <f>IF(D22="","",D22*E22)</f>
      </c>
      <c r="G22" s="15">
        <f>IF(D22="","",D22*IFERROR(VLOOKUP(B22,'Controle de Estoque'!$A$3:$C$52,3,0),IFERROR(VLOOKUP(B22,Precificação!$A$3:$B$52,2,0),0)))</f>
      </c>
      <c r="H22" s="16">
        <f>IF(D22="","",F22-G22)</f>
      </c>
    </row>
    <row r="23" spans="1:8" x14ac:dyDescent="0.25">
      <c r="A23" s="13"/>
      <c r="B23" s="9"/>
      <c r="C23" s="13"/>
      <c r="D23" s="11"/>
      <c r="E23" s="10"/>
      <c r="F23" s="15">
        <f>IF(D23="","",D23*E23)</f>
      </c>
      <c r="G23" s="15">
        <f>IF(D23="","",D23*IFERROR(VLOOKUP(B23,'Controle de Estoque'!$A$3:$C$52,3,0),IFERROR(VLOOKUP(B23,Precificação!$A$3:$B$52,2,0),0)))</f>
      </c>
      <c r="H23" s="16">
        <f>IF(D23="","",F23-G23)</f>
      </c>
    </row>
    <row r="24" spans="1:8" x14ac:dyDescent="0.25">
      <c r="A24" s="13"/>
      <c r="B24" s="9"/>
      <c r="C24" s="13"/>
      <c r="D24" s="11"/>
      <c r="E24" s="10"/>
      <c r="F24" s="15">
        <f>IF(D24="","",D24*E24)</f>
      </c>
      <c r="G24" s="15">
        <f>IF(D24="","",D24*IFERROR(VLOOKUP(B24,'Controle de Estoque'!$A$3:$C$52,3,0),IFERROR(VLOOKUP(B24,Precificação!$A$3:$B$52,2,0),0)))</f>
      </c>
      <c r="H24" s="16">
        <f>IF(D24="","",F24-G24)</f>
      </c>
    </row>
    <row r="25" spans="1:8" x14ac:dyDescent="0.25">
      <c r="A25" s="13"/>
      <c r="B25" s="9"/>
      <c r="C25" s="13"/>
      <c r="D25" s="11"/>
      <c r="E25" s="10"/>
      <c r="F25" s="15">
        <f>IF(D25="","",D25*E25)</f>
      </c>
      <c r="G25" s="15">
        <f>IF(D25="","",D25*IFERROR(VLOOKUP(B25,'Controle de Estoque'!$A$3:$C$52,3,0),IFERROR(VLOOKUP(B25,Precificação!$A$3:$B$52,2,0),0)))</f>
      </c>
      <c r="H25" s="16">
        <f>IF(D25="","",F25-G25)</f>
      </c>
    </row>
    <row r="26" spans="1:8" x14ac:dyDescent="0.25">
      <c r="A26" s="13"/>
      <c r="B26" s="9"/>
      <c r="C26" s="13"/>
      <c r="D26" s="11"/>
      <c r="E26" s="10"/>
      <c r="F26" s="15">
        <f>IF(D26="","",D26*E26)</f>
      </c>
      <c r="G26" s="15">
        <f>IF(D26="","",D26*IFERROR(VLOOKUP(B26,'Controle de Estoque'!$A$3:$C$52,3,0),IFERROR(VLOOKUP(B26,Precificação!$A$3:$B$52,2,0),0)))</f>
      </c>
      <c r="H26" s="16">
        <f>IF(D26="","",F26-G26)</f>
      </c>
    </row>
    <row r="27" spans="1:8" x14ac:dyDescent="0.25">
      <c r="A27" s="13"/>
      <c r="B27" s="9"/>
      <c r="C27" s="13"/>
      <c r="D27" s="11"/>
      <c r="E27" s="10"/>
      <c r="F27" s="15">
        <f>IF(D27="","",D27*E27)</f>
      </c>
      <c r="G27" s="15">
        <f>IF(D27="","",D27*IFERROR(VLOOKUP(B27,'Controle de Estoque'!$A$3:$C$52,3,0),IFERROR(VLOOKUP(B27,Precificação!$A$3:$B$52,2,0),0)))</f>
      </c>
      <c r="H27" s="16">
        <f>IF(D27="","",F27-G27)</f>
      </c>
    </row>
    <row r="28" spans="1:8" x14ac:dyDescent="0.25">
      <c r="A28" s="13"/>
      <c r="B28" s="9"/>
      <c r="C28" s="13"/>
      <c r="D28" s="11"/>
      <c r="E28" s="10"/>
      <c r="F28" s="15">
        <f>IF(D28="","",D28*E28)</f>
      </c>
      <c r="G28" s="15">
        <f>IF(D28="","",D28*IFERROR(VLOOKUP(B28,'Controle de Estoque'!$A$3:$C$52,3,0),IFERROR(VLOOKUP(B28,Precificação!$A$3:$B$52,2,0),0)))</f>
      </c>
      <c r="H28" s="16">
        <f>IF(D28="","",F28-G28)</f>
      </c>
    </row>
    <row r="29" spans="1:8" x14ac:dyDescent="0.25">
      <c r="A29" s="13"/>
      <c r="B29" s="9"/>
      <c r="C29" s="13"/>
      <c r="D29" s="11"/>
      <c r="E29" s="10"/>
      <c r="F29" s="15">
        <f>IF(D29="","",D29*E29)</f>
      </c>
      <c r="G29" s="15">
        <f>IF(D29="","",D29*IFERROR(VLOOKUP(B29,'Controle de Estoque'!$A$3:$C$52,3,0),IFERROR(VLOOKUP(B29,Precificação!$A$3:$B$52,2,0),0)))</f>
      </c>
      <c r="H29" s="16">
        <f>IF(D29="","",F29-G29)</f>
      </c>
    </row>
    <row r="30" spans="1:8" x14ac:dyDescent="0.25">
      <c r="A30" s="13"/>
      <c r="B30" s="9"/>
      <c r="C30" s="13"/>
      <c r="D30" s="11"/>
      <c r="E30" s="10"/>
      <c r="F30" s="15">
        <f>IF(D30="","",D30*E30)</f>
      </c>
      <c r="G30" s="15">
        <f>IF(D30="","",D30*IFERROR(VLOOKUP(B30,'Controle de Estoque'!$A$3:$C$52,3,0),IFERROR(VLOOKUP(B30,Precificação!$A$3:$B$52,2,0),0)))</f>
      </c>
      <c r="H30" s="16">
        <f>IF(D30="","",F30-G30)</f>
      </c>
    </row>
    <row r="31" spans="1:8" x14ac:dyDescent="0.25">
      <c r="A31" s="13"/>
      <c r="B31" s="9"/>
      <c r="C31" s="13"/>
      <c r="D31" s="11"/>
      <c r="E31" s="10"/>
      <c r="F31" s="15">
        <f>IF(D31="","",D31*E31)</f>
      </c>
      <c r="G31" s="15">
        <f>IF(D31="","",D31*IFERROR(VLOOKUP(B31,'Controle de Estoque'!$A$3:$C$52,3,0),IFERROR(VLOOKUP(B31,Precificação!$A$3:$B$52,2,0),0)))</f>
      </c>
      <c r="H31" s="16">
        <f>IF(D31="","",F31-G31)</f>
      </c>
    </row>
    <row r="32" spans="1:8" x14ac:dyDescent="0.25">
      <c r="A32" s="13"/>
      <c r="B32" s="9"/>
      <c r="C32" s="13"/>
      <c r="D32" s="11"/>
      <c r="E32" s="10"/>
      <c r="F32" s="15">
        <f>IF(D32="","",D32*E32)</f>
      </c>
      <c r="G32" s="15">
        <f>IF(D32="","",D32*IFERROR(VLOOKUP(B32,'Controle de Estoque'!$A$3:$C$52,3,0),IFERROR(VLOOKUP(B32,Precificação!$A$3:$B$52,2,0),0)))</f>
      </c>
      <c r="H32" s="16">
        <f>IF(D32="","",F32-G32)</f>
      </c>
    </row>
    <row r="33" spans="1:8" x14ac:dyDescent="0.25">
      <c r="A33" s="13"/>
      <c r="B33" s="9"/>
      <c r="C33" s="13"/>
      <c r="D33" s="11"/>
      <c r="E33" s="10"/>
      <c r="F33" s="15">
        <f>IF(D33="","",D33*E33)</f>
      </c>
      <c r="G33" s="15">
        <f>IF(D33="","",D33*IFERROR(VLOOKUP(B33,'Controle de Estoque'!$A$3:$C$52,3,0),IFERROR(VLOOKUP(B33,Precificação!$A$3:$B$52,2,0),0)))</f>
      </c>
      <c r="H33" s="16">
        <f>IF(D33="","",F33-G33)</f>
      </c>
    </row>
    <row r="34" spans="1:8" x14ac:dyDescent="0.25">
      <c r="A34" s="13"/>
      <c r="B34" s="9"/>
      <c r="C34" s="13"/>
      <c r="D34" s="11"/>
      <c r="E34" s="10"/>
      <c r="F34" s="15">
        <f>IF(D34="","",D34*E34)</f>
      </c>
      <c r="G34" s="15">
        <f>IF(D34="","",D34*IFERROR(VLOOKUP(B34,'Controle de Estoque'!$A$3:$C$52,3,0),IFERROR(VLOOKUP(B34,Precificação!$A$3:$B$52,2,0),0)))</f>
      </c>
      <c r="H34" s="16">
        <f>IF(D34="","",F34-G34)</f>
      </c>
    </row>
    <row r="35" spans="1:8" x14ac:dyDescent="0.25">
      <c r="A35" s="13"/>
      <c r="B35" s="9"/>
      <c r="C35" s="13"/>
      <c r="D35" s="11"/>
      <c r="E35" s="10"/>
      <c r="F35" s="15">
        <f>IF(D35="","",D35*E35)</f>
      </c>
      <c r="G35" s="15">
        <f>IF(D35="","",D35*IFERROR(VLOOKUP(B35,'Controle de Estoque'!$A$3:$C$52,3,0),IFERROR(VLOOKUP(B35,Precificação!$A$3:$B$52,2,0),0)))</f>
      </c>
      <c r="H35" s="16">
        <f>IF(D35="","",F35-G35)</f>
      </c>
    </row>
    <row r="36" spans="1:8" x14ac:dyDescent="0.25">
      <c r="A36" s="13"/>
      <c r="B36" s="9"/>
      <c r="C36" s="13"/>
      <c r="D36" s="11"/>
      <c r="E36" s="10"/>
      <c r="F36" s="15">
        <f>IF(D36="","",D36*E36)</f>
      </c>
      <c r="G36" s="15">
        <f>IF(D36="","",D36*IFERROR(VLOOKUP(B36,'Controle de Estoque'!$A$3:$C$52,3,0),IFERROR(VLOOKUP(B36,Precificação!$A$3:$B$52,2,0),0)))</f>
      </c>
      <c r="H36" s="16">
        <f>IF(D36="","",F36-G36)</f>
      </c>
    </row>
    <row r="37" spans="1:8" x14ac:dyDescent="0.25">
      <c r="A37" s="13"/>
      <c r="B37" s="9"/>
      <c r="C37" s="13"/>
      <c r="D37" s="11"/>
      <c r="E37" s="10"/>
      <c r="F37" s="15">
        <f>IF(D37="","",D37*E37)</f>
      </c>
      <c r="G37" s="15">
        <f>IF(D37="","",D37*IFERROR(VLOOKUP(B37,'Controle de Estoque'!$A$3:$C$52,3,0),IFERROR(VLOOKUP(B37,Precificação!$A$3:$B$52,2,0),0)))</f>
      </c>
      <c r="H37" s="16">
        <f>IF(D37="","",F37-G37)</f>
      </c>
    </row>
    <row r="38" spans="1:8" x14ac:dyDescent="0.25">
      <c r="A38" s="13"/>
      <c r="B38" s="9"/>
      <c r="C38" s="13"/>
      <c r="D38" s="11"/>
      <c r="E38" s="10"/>
      <c r="F38" s="15">
        <f>IF(D38="","",D38*E38)</f>
      </c>
      <c r="G38" s="15">
        <f>IF(D38="","",D38*IFERROR(VLOOKUP(B38,'Controle de Estoque'!$A$3:$C$52,3,0),IFERROR(VLOOKUP(B38,Precificação!$A$3:$B$52,2,0),0)))</f>
      </c>
      <c r="H38" s="16">
        <f>IF(D38="","",F38-G38)</f>
      </c>
    </row>
    <row r="39" spans="1:8" x14ac:dyDescent="0.25">
      <c r="A39" s="13"/>
      <c r="B39" s="9"/>
      <c r="C39" s="13"/>
      <c r="D39" s="11"/>
      <c r="E39" s="10"/>
      <c r="F39" s="15">
        <f>IF(D39="","",D39*E39)</f>
      </c>
      <c r="G39" s="15">
        <f>IF(D39="","",D39*IFERROR(VLOOKUP(B39,'Controle de Estoque'!$A$3:$C$52,3,0),IFERROR(VLOOKUP(B39,Precificação!$A$3:$B$52,2,0),0)))</f>
      </c>
      <c r="H39" s="16">
        <f>IF(D39="","",F39-G39)</f>
      </c>
    </row>
    <row r="40" spans="1:8" x14ac:dyDescent="0.25">
      <c r="A40" s="13"/>
      <c r="B40" s="9"/>
      <c r="C40" s="13"/>
      <c r="D40" s="11"/>
      <c r="E40" s="10"/>
      <c r="F40" s="15">
        <f>IF(D40="","",D40*E40)</f>
      </c>
      <c r="G40" s="15">
        <f>IF(D40="","",D40*IFERROR(VLOOKUP(B40,'Controle de Estoque'!$A$3:$C$52,3,0),IFERROR(VLOOKUP(B40,Precificação!$A$3:$B$52,2,0),0)))</f>
      </c>
      <c r="H40" s="16">
        <f>IF(D40="","",F40-G40)</f>
      </c>
    </row>
    <row r="41" spans="1:8" x14ac:dyDescent="0.25">
      <c r="A41" s="13"/>
      <c r="B41" s="9"/>
      <c r="C41" s="13"/>
      <c r="D41" s="11"/>
      <c r="E41" s="10"/>
      <c r="F41" s="15">
        <f>IF(D41="","",D41*E41)</f>
      </c>
      <c r="G41" s="15">
        <f>IF(D41="","",D41*IFERROR(VLOOKUP(B41,'Controle de Estoque'!$A$3:$C$52,3,0),IFERROR(VLOOKUP(B41,Precificação!$A$3:$B$52,2,0),0)))</f>
      </c>
      <c r="H41" s="16">
        <f>IF(D41="","",F41-G41)</f>
      </c>
    </row>
    <row r="42" spans="1:8" x14ac:dyDescent="0.25">
      <c r="A42" s="13"/>
      <c r="B42" s="9"/>
      <c r="C42" s="13"/>
      <c r="D42" s="11"/>
      <c r="E42" s="10"/>
      <c r="F42" s="15">
        <f>IF(D42="","",D42*E42)</f>
      </c>
      <c r="G42" s="15">
        <f>IF(D42="","",D42*IFERROR(VLOOKUP(B42,'Controle de Estoque'!$A$3:$C$52,3,0),IFERROR(VLOOKUP(B42,Precificação!$A$3:$B$52,2,0),0)))</f>
      </c>
      <c r="H42" s="16">
        <f>IF(D42="","",F42-G42)</f>
      </c>
    </row>
    <row r="43" spans="1:8" x14ac:dyDescent="0.25">
      <c r="A43" s="13"/>
      <c r="B43" s="9"/>
      <c r="C43" s="13"/>
      <c r="D43" s="11"/>
      <c r="E43" s="10"/>
      <c r="F43" s="15">
        <f>IF(D43="","",D43*E43)</f>
      </c>
      <c r="G43" s="15">
        <f>IF(D43="","",D43*IFERROR(VLOOKUP(B43,'Controle de Estoque'!$A$3:$C$52,3,0),IFERROR(VLOOKUP(B43,Precificação!$A$3:$B$52,2,0),0)))</f>
      </c>
      <c r="H43" s="16">
        <f>IF(D43="","",F43-G43)</f>
      </c>
    </row>
    <row r="44" spans="1:8" x14ac:dyDescent="0.25">
      <c r="A44" s="13"/>
      <c r="B44" s="9"/>
      <c r="C44" s="13"/>
      <c r="D44" s="11"/>
      <c r="E44" s="10"/>
      <c r="F44" s="15">
        <f>IF(D44="","",D44*E44)</f>
      </c>
      <c r="G44" s="15">
        <f>IF(D44="","",D44*IFERROR(VLOOKUP(B44,'Controle de Estoque'!$A$3:$C$52,3,0),IFERROR(VLOOKUP(B44,Precificação!$A$3:$B$52,2,0),0)))</f>
      </c>
      <c r="H44" s="16">
        <f>IF(D44="","",F44-G44)</f>
      </c>
    </row>
    <row r="45" spans="1:8" x14ac:dyDescent="0.25">
      <c r="A45" s="13"/>
      <c r="B45" s="9"/>
      <c r="C45" s="13"/>
      <c r="D45" s="11"/>
      <c r="E45" s="10"/>
      <c r="F45" s="15">
        <f>IF(D45="","",D45*E45)</f>
      </c>
      <c r="G45" s="15">
        <f>IF(D45="","",D45*IFERROR(VLOOKUP(B45,'Controle de Estoque'!$A$3:$C$52,3,0),IFERROR(VLOOKUP(B45,Precificação!$A$3:$B$52,2,0),0)))</f>
      </c>
      <c r="H45" s="16">
        <f>IF(D45="","",F45-G45)</f>
      </c>
    </row>
    <row r="46" spans="1:8" x14ac:dyDescent="0.25">
      <c r="A46" s="13"/>
      <c r="B46" s="9"/>
      <c r="C46" s="13"/>
      <c r="D46" s="11"/>
      <c r="E46" s="10"/>
      <c r="F46" s="15">
        <f>IF(D46="","",D46*E46)</f>
      </c>
      <c r="G46" s="15">
        <f>IF(D46="","",D46*IFERROR(VLOOKUP(B46,'Controle de Estoque'!$A$3:$C$52,3,0),IFERROR(VLOOKUP(B46,Precificação!$A$3:$B$52,2,0),0)))</f>
      </c>
      <c r="H46" s="16">
        <f>IF(D46="","",F46-G46)</f>
      </c>
    </row>
    <row r="47" spans="1:8" x14ac:dyDescent="0.25">
      <c r="A47" s="13"/>
      <c r="B47" s="9"/>
      <c r="C47" s="13"/>
      <c r="D47" s="11"/>
      <c r="E47" s="10"/>
      <c r="F47" s="15">
        <f>IF(D47="","",D47*E47)</f>
      </c>
      <c r="G47" s="15">
        <f>IF(D47="","",D47*IFERROR(VLOOKUP(B47,'Controle de Estoque'!$A$3:$C$52,3,0),IFERROR(VLOOKUP(B47,Precificação!$A$3:$B$52,2,0),0)))</f>
      </c>
      <c r="H47" s="16">
        <f>IF(D47="","",F47-G47)</f>
      </c>
    </row>
    <row r="48" spans="1:8" x14ac:dyDescent="0.25">
      <c r="A48" s="13"/>
      <c r="B48" s="9"/>
      <c r="C48" s="13"/>
      <c r="D48" s="11"/>
      <c r="E48" s="10"/>
      <c r="F48" s="15">
        <f>IF(D48="","",D48*E48)</f>
      </c>
      <c r="G48" s="15">
        <f>IF(D48="","",D48*IFERROR(VLOOKUP(B48,'Controle de Estoque'!$A$3:$C$52,3,0),IFERROR(VLOOKUP(B48,Precificação!$A$3:$B$52,2,0),0)))</f>
      </c>
      <c r="H48" s="16">
        <f>IF(D48="","",F48-G48)</f>
      </c>
    </row>
    <row r="49" spans="1:8" x14ac:dyDescent="0.25">
      <c r="A49" s="13"/>
      <c r="B49" s="9"/>
      <c r="C49" s="13"/>
      <c r="D49" s="11"/>
      <c r="E49" s="10"/>
      <c r="F49" s="15">
        <f>IF(D49="","",D49*E49)</f>
      </c>
      <c r="G49" s="15">
        <f>IF(D49="","",D49*IFERROR(VLOOKUP(B49,'Controle de Estoque'!$A$3:$C$52,3,0),IFERROR(VLOOKUP(B49,Precificação!$A$3:$B$52,2,0),0)))</f>
      </c>
      <c r="H49" s="16">
        <f>IF(D49="","",F49-G49)</f>
      </c>
    </row>
    <row r="50" spans="1:8" x14ac:dyDescent="0.25">
      <c r="A50" s="13"/>
      <c r="B50" s="9"/>
      <c r="C50" s="13"/>
      <c r="D50" s="11"/>
      <c r="E50" s="10"/>
      <c r="F50" s="15">
        <f>IF(D50="","",D50*E50)</f>
      </c>
      <c r="G50" s="15">
        <f>IF(D50="","",D50*IFERROR(VLOOKUP(B50,'Controle de Estoque'!$A$3:$C$52,3,0),IFERROR(VLOOKUP(B50,Precificação!$A$3:$B$52,2,0),0)))</f>
      </c>
      <c r="H50" s="16">
        <f>IF(D50="","",F50-G50)</f>
      </c>
    </row>
    <row r="51" spans="1:8" x14ac:dyDescent="0.25">
      <c r="A51" s="13"/>
      <c r="B51" s="9"/>
      <c r="C51" s="13"/>
      <c r="D51" s="11"/>
      <c r="E51" s="10"/>
      <c r="F51" s="15">
        <f>IF(D51="","",D51*E51)</f>
      </c>
      <c r="G51" s="15">
        <f>IF(D51="","",D51*IFERROR(VLOOKUP(B51,'Controle de Estoque'!$A$3:$C$52,3,0),IFERROR(VLOOKUP(B51,Precificação!$A$3:$B$52,2,0),0)))</f>
      </c>
      <c r="H51" s="16">
        <f>IF(D51="","",F51-G51)</f>
      </c>
    </row>
    <row r="52" spans="1:8" x14ac:dyDescent="0.25">
      <c r="A52" s="13"/>
      <c r="B52" s="9"/>
      <c r="C52" s="13"/>
      <c r="D52" s="11"/>
      <c r="E52" s="10"/>
      <c r="F52" s="15">
        <f>IF(D52="","",D52*E52)</f>
      </c>
      <c r="G52" s="15">
        <f>IF(D52="","",D52*IFERROR(VLOOKUP(B52,'Controle de Estoque'!$A$3:$C$52,3,0),IFERROR(VLOOKUP(B52,Precificação!$A$3:$B$52,2,0),0)))</f>
      </c>
      <c r="H52" s="16">
        <f>IF(D52="","",F52-G52)</f>
      </c>
    </row>
    <row r="53" spans="1:8" x14ac:dyDescent="0.25">
      <c r="A53" s="13"/>
      <c r="B53" s="9"/>
      <c r="C53" s="13"/>
      <c r="D53" s="11"/>
      <c r="E53" s="10"/>
      <c r="F53" s="15">
        <f>IF(D53="","",D53*E53)</f>
      </c>
      <c r="G53" s="15">
        <f>IF(D53="","",D53*IFERROR(VLOOKUP(B53,'Controle de Estoque'!$A$3:$C$52,3,0),IFERROR(VLOOKUP(B53,Precificação!$A$3:$B$52,2,0),0)))</f>
      </c>
      <c r="H53" s="16">
        <f>IF(D53="","",F53-G53)</f>
      </c>
    </row>
    <row r="54" spans="1:8" x14ac:dyDescent="0.25">
      <c r="A54" s="13"/>
      <c r="B54" s="9"/>
      <c r="C54" s="13"/>
      <c r="D54" s="11"/>
      <c r="E54" s="10"/>
      <c r="F54" s="15">
        <f>IF(D54="","",D54*E54)</f>
      </c>
      <c r="G54" s="15">
        <f>IF(D54="","",D54*IFERROR(VLOOKUP(B54,'Controle de Estoque'!$A$3:$C$52,3,0),IFERROR(VLOOKUP(B54,Precificação!$A$3:$B$52,2,0),0)))</f>
      </c>
      <c r="H54" s="16">
        <f>IF(D54="","",F54-G54)</f>
      </c>
    </row>
    <row r="55" spans="1:8" x14ac:dyDescent="0.25">
      <c r="A55" s="13"/>
      <c r="B55" s="9"/>
      <c r="C55" s="13"/>
      <c r="D55" s="11"/>
      <c r="E55" s="10"/>
      <c r="F55" s="15">
        <f>IF(D55="","",D55*E55)</f>
      </c>
      <c r="G55" s="15">
        <f>IF(D55="","",D55*IFERROR(VLOOKUP(B55,'Controle de Estoque'!$A$3:$C$52,3,0),IFERROR(VLOOKUP(B55,Precificação!$A$3:$B$52,2,0),0)))</f>
      </c>
      <c r="H55" s="16">
        <f>IF(D55="","",F55-G55)</f>
      </c>
    </row>
    <row r="56" spans="1:8" x14ac:dyDescent="0.25">
      <c r="A56" s="13"/>
      <c r="B56" s="9"/>
      <c r="C56" s="13"/>
      <c r="D56" s="11"/>
      <c r="E56" s="10"/>
      <c r="F56" s="15">
        <f>IF(D56="","",D56*E56)</f>
      </c>
      <c r="G56" s="15">
        <f>IF(D56="","",D56*IFERROR(VLOOKUP(B56,'Controle de Estoque'!$A$3:$C$52,3,0),IFERROR(VLOOKUP(B56,Precificação!$A$3:$B$52,2,0),0)))</f>
      </c>
      <c r="H56" s="16">
        <f>IF(D56="","",F56-G56)</f>
      </c>
    </row>
    <row r="57" spans="1:8" x14ac:dyDescent="0.25">
      <c r="A57" s="13"/>
      <c r="B57" s="9"/>
      <c r="C57" s="13"/>
      <c r="D57" s="11"/>
      <c r="E57" s="10"/>
      <c r="F57" s="15">
        <f>IF(D57="","",D57*E57)</f>
      </c>
      <c r="G57" s="15">
        <f>IF(D57="","",D57*IFERROR(VLOOKUP(B57,'Controle de Estoque'!$A$3:$C$52,3,0),IFERROR(VLOOKUP(B57,Precificação!$A$3:$B$52,2,0),0)))</f>
      </c>
      <c r="H57" s="16">
        <f>IF(D57="","",F57-G57)</f>
      </c>
    </row>
    <row r="58" spans="1:8" x14ac:dyDescent="0.25">
      <c r="A58" s="13"/>
      <c r="B58" s="9"/>
      <c r="C58" s="13"/>
      <c r="D58" s="11"/>
      <c r="E58" s="10"/>
      <c r="F58" s="15">
        <f>IF(D58="","",D58*E58)</f>
      </c>
      <c r="G58" s="15">
        <f>IF(D58="","",D58*IFERROR(VLOOKUP(B58,'Controle de Estoque'!$A$3:$C$52,3,0),IFERROR(VLOOKUP(B58,Precificação!$A$3:$B$52,2,0),0)))</f>
      </c>
      <c r="H58" s="16">
        <f>IF(D58="","",F58-G58)</f>
      </c>
    </row>
    <row r="59" spans="1:8" x14ac:dyDescent="0.25">
      <c r="A59" s="13"/>
      <c r="B59" s="9"/>
      <c r="C59" s="13"/>
      <c r="D59" s="11"/>
      <c r="E59" s="10"/>
      <c r="F59" s="15">
        <f>IF(D59="","",D59*E59)</f>
      </c>
      <c r="G59" s="15">
        <f>IF(D59="","",D59*IFERROR(VLOOKUP(B59,'Controle de Estoque'!$A$3:$C$52,3,0),IFERROR(VLOOKUP(B59,Precificação!$A$3:$B$52,2,0),0)))</f>
      </c>
      <c r="H59" s="16">
        <f>IF(D59="","",F59-G59)</f>
      </c>
    </row>
    <row r="60" spans="1:8" x14ac:dyDescent="0.25">
      <c r="A60" s="13"/>
      <c r="B60" s="9"/>
      <c r="C60" s="13"/>
      <c r="D60" s="11"/>
      <c r="E60" s="10"/>
      <c r="F60" s="15">
        <f>IF(D60="","",D60*E60)</f>
      </c>
      <c r="G60" s="15">
        <f>IF(D60="","",D60*IFERROR(VLOOKUP(B60,'Controle de Estoque'!$A$3:$C$52,3,0),IFERROR(VLOOKUP(B60,Precificação!$A$3:$B$52,2,0),0)))</f>
      </c>
      <c r="H60" s="16">
        <f>IF(D60="","",F60-G60)</f>
      </c>
    </row>
    <row r="61" spans="1:8" x14ac:dyDescent="0.25">
      <c r="A61" s="13"/>
      <c r="B61" s="9"/>
      <c r="C61" s="13"/>
      <c r="D61" s="11"/>
      <c r="E61" s="10"/>
      <c r="F61" s="15">
        <f>IF(D61="","",D61*E61)</f>
      </c>
      <c r="G61" s="15">
        <f>IF(D61="","",D61*IFERROR(VLOOKUP(B61,'Controle de Estoque'!$A$3:$C$52,3,0),IFERROR(VLOOKUP(B61,Precificação!$A$3:$B$52,2,0),0)))</f>
      </c>
      <c r="H61" s="16">
        <f>IF(D61="","",F61-G61)</f>
      </c>
    </row>
    <row r="62" spans="1:8" x14ac:dyDescent="0.25">
      <c r="A62" s="13"/>
      <c r="B62" s="9"/>
      <c r="C62" s="13"/>
      <c r="D62" s="11"/>
      <c r="E62" s="10"/>
      <c r="F62" s="15">
        <f>IF(D62="","",D62*E62)</f>
      </c>
      <c r="G62" s="15">
        <f>IF(D62="","",D62*IFERROR(VLOOKUP(B62,'Controle de Estoque'!$A$3:$C$52,3,0),IFERROR(VLOOKUP(B62,Precificação!$A$3:$B$52,2,0),0)))</f>
      </c>
      <c r="H62" s="16">
        <f>IF(D62="","",F62-G62)</f>
      </c>
    </row>
    <row r="63" spans="1:8" x14ac:dyDescent="0.25">
      <c r="A63" s="13"/>
      <c r="B63" s="9"/>
      <c r="C63" s="13"/>
      <c r="D63" s="11"/>
      <c r="E63" s="10"/>
      <c r="F63" s="15">
        <f>IF(D63="","",D63*E63)</f>
      </c>
      <c r="G63" s="15">
        <f>IF(D63="","",D63*IFERROR(VLOOKUP(B63,'Controle de Estoque'!$A$3:$C$52,3,0),IFERROR(VLOOKUP(B63,Precificação!$A$3:$B$52,2,0),0)))</f>
      </c>
      <c r="H63" s="16">
        <f>IF(D63="","",F63-G63)</f>
      </c>
    </row>
    <row r="64" spans="1:8" x14ac:dyDescent="0.25">
      <c r="A64" s="13"/>
      <c r="B64" s="9"/>
      <c r="C64" s="13"/>
      <c r="D64" s="11"/>
      <c r="E64" s="10"/>
      <c r="F64" s="15">
        <f>IF(D64="","",D64*E64)</f>
      </c>
      <c r="G64" s="15">
        <f>IF(D64="","",D64*IFERROR(VLOOKUP(B64,'Controle de Estoque'!$A$3:$C$52,3,0),IFERROR(VLOOKUP(B64,Precificação!$A$3:$B$52,2,0),0)))</f>
      </c>
      <c r="H64" s="16">
        <f>IF(D64="","",F64-G64)</f>
      </c>
    </row>
    <row r="65" spans="1:8" x14ac:dyDescent="0.25">
      <c r="A65" s="13"/>
      <c r="B65" s="9"/>
      <c r="C65" s="13"/>
      <c r="D65" s="11"/>
      <c r="E65" s="10"/>
      <c r="F65" s="15">
        <f>IF(D65="","",D65*E65)</f>
      </c>
      <c r="G65" s="15">
        <f>IF(D65="","",D65*IFERROR(VLOOKUP(B65,'Controle de Estoque'!$A$3:$C$52,3,0),IFERROR(VLOOKUP(B65,Precificação!$A$3:$B$52,2,0),0)))</f>
      </c>
      <c r="H65" s="16">
        <f>IF(D65="","",F65-G65)</f>
      </c>
    </row>
    <row r="66" spans="1:8" x14ac:dyDescent="0.25">
      <c r="A66" s="13"/>
      <c r="B66" s="9"/>
      <c r="C66" s="13"/>
      <c r="D66" s="11"/>
      <c r="E66" s="10"/>
      <c r="F66" s="15">
        <f>IF(D66="","",D66*E66)</f>
      </c>
      <c r="G66" s="15">
        <f>IF(D66="","",D66*IFERROR(VLOOKUP(B66,'Controle de Estoque'!$A$3:$C$52,3,0),IFERROR(VLOOKUP(B66,Precificação!$A$3:$B$52,2,0),0)))</f>
      </c>
      <c r="H66" s="16">
        <f>IF(D66="","",F66-G66)</f>
      </c>
    </row>
    <row r="67" spans="1:8" x14ac:dyDescent="0.25">
      <c r="A67" s="13"/>
      <c r="B67" s="9"/>
      <c r="C67" s="13"/>
      <c r="D67" s="11"/>
      <c r="E67" s="10"/>
      <c r="F67" s="15">
        <f>IF(D67="","",D67*E67)</f>
      </c>
      <c r="G67" s="15">
        <f>IF(D67="","",D67*IFERROR(VLOOKUP(B67,'Controle de Estoque'!$A$3:$C$52,3,0),IFERROR(VLOOKUP(B67,Precificação!$A$3:$B$52,2,0),0)))</f>
      </c>
      <c r="H67" s="16">
        <f>IF(D67="","",F67-G67)</f>
      </c>
    </row>
    <row r="68" spans="1:8" x14ac:dyDescent="0.25">
      <c r="A68" s="13"/>
      <c r="B68" s="9"/>
      <c r="C68" s="13"/>
      <c r="D68" s="11"/>
      <c r="E68" s="10"/>
      <c r="F68" s="15">
        <f>IF(D68="","",D68*E68)</f>
      </c>
      <c r="G68" s="15">
        <f>IF(D68="","",D68*IFERROR(VLOOKUP(B68,'Controle de Estoque'!$A$3:$C$52,3,0),IFERROR(VLOOKUP(B68,Precificação!$A$3:$B$52,2,0),0)))</f>
      </c>
      <c r="H68" s="16">
        <f>IF(D68="","",F68-G68)</f>
      </c>
    </row>
    <row r="69" spans="1:8" x14ac:dyDescent="0.25">
      <c r="A69" s="13"/>
      <c r="B69" s="9"/>
      <c r="C69" s="13"/>
      <c r="D69" s="11"/>
      <c r="E69" s="10"/>
      <c r="F69" s="15">
        <f>IF(D69="","",D69*E69)</f>
      </c>
      <c r="G69" s="15">
        <f>IF(D69="","",D69*IFERROR(VLOOKUP(B69,'Controle de Estoque'!$A$3:$C$52,3,0),IFERROR(VLOOKUP(B69,Precificação!$A$3:$B$52,2,0),0)))</f>
      </c>
      <c r="H69" s="16">
        <f>IF(D69="","",F69-G69)</f>
      </c>
    </row>
    <row r="70" spans="1:8" x14ac:dyDescent="0.25">
      <c r="A70" s="13"/>
      <c r="B70" s="9"/>
      <c r="C70" s="13"/>
      <c r="D70" s="11"/>
      <c r="E70" s="10"/>
      <c r="F70" s="15">
        <f>IF(D70="","",D70*E70)</f>
      </c>
      <c r="G70" s="15">
        <f>IF(D70="","",D70*IFERROR(VLOOKUP(B70,'Controle de Estoque'!$A$3:$C$52,3,0),IFERROR(VLOOKUP(B70,Precificação!$A$3:$B$52,2,0),0)))</f>
      </c>
      <c r="H70" s="16">
        <f>IF(D70="","",F70-G70)</f>
      </c>
    </row>
    <row r="71" spans="1:8" x14ac:dyDescent="0.25">
      <c r="A71" s="13"/>
      <c r="B71" s="9"/>
      <c r="C71" s="13"/>
      <c r="D71" s="11"/>
      <c r="E71" s="10"/>
      <c r="F71" s="15">
        <f>IF(D71="","",D71*E71)</f>
      </c>
      <c r="G71" s="15">
        <f>IF(D71="","",D71*IFERROR(VLOOKUP(B71,'Controle de Estoque'!$A$3:$C$52,3,0),IFERROR(VLOOKUP(B71,Precificação!$A$3:$B$52,2,0),0)))</f>
      </c>
      <c r="H71" s="16">
        <f>IF(D71="","",F71-G71)</f>
      </c>
    </row>
    <row r="72" spans="1:8" x14ac:dyDescent="0.25">
      <c r="A72" s="13"/>
      <c r="B72" s="9"/>
      <c r="C72" s="13"/>
      <c r="D72" s="11"/>
      <c r="E72" s="10"/>
      <c r="F72" s="15">
        <f>IF(D72="","",D72*E72)</f>
      </c>
      <c r="G72" s="15">
        <f>IF(D72="","",D72*IFERROR(VLOOKUP(B72,'Controle de Estoque'!$A$3:$C$52,3,0),IFERROR(VLOOKUP(B72,Precificação!$A$3:$B$52,2,0),0)))</f>
      </c>
      <c r="H72" s="16">
        <f>IF(D72="","",F72-G72)</f>
      </c>
    </row>
    <row r="73" spans="1:8" x14ac:dyDescent="0.25">
      <c r="A73" s="13"/>
      <c r="B73" s="9"/>
      <c r="C73" s="13"/>
      <c r="D73" s="11"/>
      <c r="E73" s="10"/>
      <c r="F73" s="15">
        <f>IF(D73="","",D73*E73)</f>
      </c>
      <c r="G73" s="15">
        <f>IF(D73="","",D73*IFERROR(VLOOKUP(B73,'Controle de Estoque'!$A$3:$C$52,3,0),IFERROR(VLOOKUP(B73,Precificação!$A$3:$B$52,2,0),0)))</f>
      </c>
      <c r="H73" s="16">
        <f>IF(D73="","",F73-G73)</f>
      </c>
    </row>
    <row r="74" spans="1:8" x14ac:dyDescent="0.25">
      <c r="A74" s="13"/>
      <c r="B74" s="9"/>
      <c r="C74" s="13"/>
      <c r="D74" s="11"/>
      <c r="E74" s="10"/>
      <c r="F74" s="15">
        <f>IF(D74="","",D74*E74)</f>
      </c>
      <c r="G74" s="15">
        <f>IF(D74="","",D74*IFERROR(VLOOKUP(B74,'Controle de Estoque'!$A$3:$C$52,3,0),IFERROR(VLOOKUP(B74,Precificação!$A$3:$B$52,2,0),0)))</f>
      </c>
      <c r="H74" s="16">
        <f>IF(D74="","",F74-G74)</f>
      </c>
    </row>
    <row r="75" spans="1:8" x14ac:dyDescent="0.25">
      <c r="A75" s="13"/>
      <c r="B75" s="9"/>
      <c r="C75" s="13"/>
      <c r="D75" s="11"/>
      <c r="E75" s="10"/>
      <c r="F75" s="15">
        <f>IF(D75="","",D75*E75)</f>
      </c>
      <c r="G75" s="15">
        <f>IF(D75="","",D75*IFERROR(VLOOKUP(B75,'Controle de Estoque'!$A$3:$C$52,3,0),IFERROR(VLOOKUP(B75,Precificação!$A$3:$B$52,2,0),0)))</f>
      </c>
      <c r="H75" s="16">
        <f>IF(D75="","",F75-G75)</f>
      </c>
    </row>
    <row r="76" spans="1:8" x14ac:dyDescent="0.25">
      <c r="A76" s="13"/>
      <c r="B76" s="9"/>
      <c r="C76" s="13"/>
      <c r="D76" s="11"/>
      <c r="E76" s="10"/>
      <c r="F76" s="15">
        <f>IF(D76="","",D76*E76)</f>
      </c>
      <c r="G76" s="15">
        <f>IF(D76="","",D76*IFERROR(VLOOKUP(B76,'Controle de Estoque'!$A$3:$C$52,3,0),IFERROR(VLOOKUP(B76,Precificação!$A$3:$B$52,2,0),0)))</f>
      </c>
      <c r="H76" s="16">
        <f>IF(D76="","",F76-G76)</f>
      </c>
    </row>
    <row r="77" spans="1:8" x14ac:dyDescent="0.25">
      <c r="A77" s="13"/>
      <c r="B77" s="9"/>
      <c r="C77" s="13"/>
      <c r="D77" s="11"/>
      <c r="E77" s="10"/>
      <c r="F77" s="15">
        <f>IF(D77="","",D77*E77)</f>
      </c>
      <c r="G77" s="15">
        <f>IF(D77="","",D77*IFERROR(VLOOKUP(B77,'Controle de Estoque'!$A$3:$C$52,3,0),IFERROR(VLOOKUP(B77,Precificação!$A$3:$B$52,2,0),0)))</f>
      </c>
      <c r="H77" s="16">
        <f>IF(D77="","",F77-G77)</f>
      </c>
    </row>
    <row r="78" spans="1:8" x14ac:dyDescent="0.25">
      <c r="A78" s="13"/>
      <c r="B78" s="9"/>
      <c r="C78" s="13"/>
      <c r="D78" s="11"/>
      <c r="E78" s="10"/>
      <c r="F78" s="15">
        <f>IF(D78="","",D78*E78)</f>
      </c>
      <c r="G78" s="15">
        <f>IF(D78="","",D78*IFERROR(VLOOKUP(B78,'Controle de Estoque'!$A$3:$C$52,3,0),IFERROR(VLOOKUP(B78,Precificação!$A$3:$B$52,2,0),0)))</f>
      </c>
      <c r="H78" s="16">
        <f>IF(D78="","",F78-G78)</f>
      </c>
    </row>
    <row r="79" spans="1:8" x14ac:dyDescent="0.25">
      <c r="A79" s="13"/>
      <c r="B79" s="9"/>
      <c r="C79" s="13"/>
      <c r="D79" s="11"/>
      <c r="E79" s="10"/>
      <c r="F79" s="15">
        <f>IF(D79="","",D79*E79)</f>
      </c>
      <c r="G79" s="15">
        <f>IF(D79="","",D79*IFERROR(VLOOKUP(B79,'Controle de Estoque'!$A$3:$C$52,3,0),IFERROR(VLOOKUP(B79,Precificação!$A$3:$B$52,2,0),0)))</f>
      </c>
      <c r="H79" s="16">
        <f>IF(D79="","",F79-G79)</f>
      </c>
    </row>
    <row r="80" spans="1:8" x14ac:dyDescent="0.25">
      <c r="A80" s="13"/>
      <c r="B80" s="9"/>
      <c r="C80" s="13"/>
      <c r="D80" s="11"/>
      <c r="E80" s="10"/>
      <c r="F80" s="15">
        <f>IF(D80="","",D80*E80)</f>
      </c>
      <c r="G80" s="15">
        <f>IF(D80="","",D80*IFERROR(VLOOKUP(B80,'Controle de Estoque'!$A$3:$C$52,3,0),IFERROR(VLOOKUP(B80,Precificação!$A$3:$B$52,2,0),0)))</f>
      </c>
      <c r="H80" s="16">
        <f>IF(D80="","",F80-G80)</f>
      </c>
    </row>
    <row r="81" spans="1:8" x14ac:dyDescent="0.25">
      <c r="A81" s="13"/>
      <c r="B81" s="9"/>
      <c r="C81" s="13"/>
      <c r="D81" s="11"/>
      <c r="E81" s="10"/>
      <c r="F81" s="15">
        <f>IF(D81="","",D81*E81)</f>
      </c>
      <c r="G81" s="15">
        <f>IF(D81="","",D81*IFERROR(VLOOKUP(B81,'Controle de Estoque'!$A$3:$C$52,3,0),IFERROR(VLOOKUP(B81,Precificação!$A$3:$B$52,2,0),0)))</f>
      </c>
      <c r="H81" s="16">
        <f>IF(D81="","",F81-G81)</f>
      </c>
    </row>
    <row r="82" spans="1:8" x14ac:dyDescent="0.25">
      <c r="A82" s="13"/>
      <c r="B82" s="9"/>
      <c r="C82" s="13"/>
      <c r="D82" s="11"/>
      <c r="E82" s="10"/>
      <c r="F82" s="15">
        <f>IF(D82="","",D82*E82)</f>
      </c>
      <c r="G82" s="15">
        <f>IF(D82="","",D82*IFERROR(VLOOKUP(B82,'Controle de Estoque'!$A$3:$C$52,3,0),IFERROR(VLOOKUP(B82,Precificação!$A$3:$B$52,2,0),0)))</f>
      </c>
      <c r="H82" s="16">
        <f>IF(D82="","",F82-G82)</f>
      </c>
    </row>
    <row r="83" spans="1:8" x14ac:dyDescent="0.25">
      <c r="A83" s="13"/>
      <c r="B83" s="9"/>
      <c r="C83" s="13"/>
      <c r="D83" s="11"/>
      <c r="E83" s="10"/>
      <c r="F83" s="15">
        <f>IF(D83="","",D83*E83)</f>
      </c>
      <c r="G83" s="15">
        <f>IF(D83="","",D83*IFERROR(VLOOKUP(B83,'Controle de Estoque'!$A$3:$C$52,3,0),IFERROR(VLOOKUP(B83,Precificação!$A$3:$B$52,2,0),0)))</f>
      </c>
      <c r="H83" s="16">
        <f>IF(D83="","",F83-G83)</f>
      </c>
    </row>
    <row r="84" spans="1:8" x14ac:dyDescent="0.25">
      <c r="A84" s="13"/>
      <c r="B84" s="9"/>
      <c r="C84" s="13"/>
      <c r="D84" s="11"/>
      <c r="E84" s="10"/>
      <c r="F84" s="15">
        <f>IF(D84="","",D84*E84)</f>
      </c>
      <c r="G84" s="15">
        <f>IF(D84="","",D84*IFERROR(VLOOKUP(B84,'Controle de Estoque'!$A$3:$C$52,3,0),IFERROR(VLOOKUP(B84,Precificação!$A$3:$B$52,2,0),0)))</f>
      </c>
      <c r="H84" s="16">
        <f>IF(D84="","",F84-G84)</f>
      </c>
    </row>
    <row r="85" spans="1:8" x14ac:dyDescent="0.25">
      <c r="A85" s="13"/>
      <c r="B85" s="9"/>
      <c r="C85" s="13"/>
      <c r="D85" s="11"/>
      <c r="E85" s="10"/>
      <c r="F85" s="15">
        <f>IF(D85="","",D85*E85)</f>
      </c>
      <c r="G85" s="15">
        <f>IF(D85="","",D85*IFERROR(VLOOKUP(B85,'Controle de Estoque'!$A$3:$C$52,3,0),IFERROR(VLOOKUP(B85,Precificação!$A$3:$B$52,2,0),0)))</f>
      </c>
      <c r="H85" s="16">
        <f>IF(D85="","",F85-G85)</f>
      </c>
    </row>
    <row r="86" spans="1:8" x14ac:dyDescent="0.25">
      <c r="A86" s="13"/>
      <c r="B86" s="9"/>
      <c r="C86" s="13"/>
      <c r="D86" s="11"/>
      <c r="E86" s="10"/>
      <c r="F86" s="15">
        <f>IF(D86="","",D86*E86)</f>
      </c>
      <c r="G86" s="15">
        <f>IF(D86="","",D86*IFERROR(VLOOKUP(B86,'Controle de Estoque'!$A$3:$C$52,3,0),IFERROR(VLOOKUP(B86,Precificação!$A$3:$B$52,2,0),0)))</f>
      </c>
      <c r="H86" s="16">
        <f>IF(D86="","",F86-G86)</f>
      </c>
    </row>
    <row r="87" spans="1:8" x14ac:dyDescent="0.25">
      <c r="A87" s="13"/>
      <c r="B87" s="9"/>
      <c r="C87" s="13"/>
      <c r="D87" s="11"/>
      <c r="E87" s="10"/>
      <c r="F87" s="15">
        <f>IF(D87="","",D87*E87)</f>
      </c>
      <c r="G87" s="15">
        <f>IF(D87="","",D87*IFERROR(VLOOKUP(B87,'Controle de Estoque'!$A$3:$C$52,3,0),IFERROR(VLOOKUP(B87,Precificação!$A$3:$B$52,2,0),0)))</f>
      </c>
      <c r="H87" s="16">
        <f>IF(D87="","",F87-G87)</f>
      </c>
    </row>
    <row r="88" spans="1:8" x14ac:dyDescent="0.25">
      <c r="A88" s="13"/>
      <c r="B88" s="9"/>
      <c r="C88" s="13"/>
      <c r="D88" s="11"/>
      <c r="E88" s="10"/>
      <c r="F88" s="15">
        <f>IF(D88="","",D88*E88)</f>
      </c>
      <c r="G88" s="15">
        <f>IF(D88="","",D88*IFERROR(VLOOKUP(B88,'Controle de Estoque'!$A$3:$C$52,3,0),IFERROR(VLOOKUP(B88,Precificação!$A$3:$B$52,2,0),0)))</f>
      </c>
      <c r="H88" s="16">
        <f>IF(D88="","",F88-G88)</f>
      </c>
    </row>
    <row r="89" spans="1:8" x14ac:dyDescent="0.25">
      <c r="A89" s="13"/>
      <c r="B89" s="9"/>
      <c r="C89" s="13"/>
      <c r="D89" s="11"/>
      <c r="E89" s="10"/>
      <c r="F89" s="15">
        <f>IF(D89="","",D89*E89)</f>
      </c>
      <c r="G89" s="15">
        <f>IF(D89="","",D89*IFERROR(VLOOKUP(B89,'Controle de Estoque'!$A$3:$C$52,3,0),IFERROR(VLOOKUP(B89,Precificação!$A$3:$B$52,2,0),0)))</f>
      </c>
      <c r="H89" s="16">
        <f>IF(D89="","",F89-G89)</f>
      </c>
    </row>
    <row r="90" spans="1:8" x14ac:dyDescent="0.25">
      <c r="A90" s="13"/>
      <c r="B90" s="9"/>
      <c r="C90" s="13"/>
      <c r="D90" s="11"/>
      <c r="E90" s="10"/>
      <c r="F90" s="15">
        <f>IF(D90="","",D90*E90)</f>
      </c>
      <c r="G90" s="15">
        <f>IF(D90="","",D90*IFERROR(VLOOKUP(B90,'Controle de Estoque'!$A$3:$C$52,3,0),IFERROR(VLOOKUP(B90,Precificação!$A$3:$B$52,2,0),0)))</f>
      </c>
      <c r="H90" s="16">
        <f>IF(D90="","",F90-G90)</f>
      </c>
    </row>
    <row r="91" spans="1:8" x14ac:dyDescent="0.25">
      <c r="A91" s="13"/>
      <c r="B91" s="9"/>
      <c r="C91" s="13"/>
      <c r="D91" s="11"/>
      <c r="E91" s="10"/>
      <c r="F91" s="15">
        <f>IF(D91="","",D91*E91)</f>
      </c>
      <c r="G91" s="15">
        <f>IF(D91="","",D91*IFERROR(VLOOKUP(B91,'Controle de Estoque'!$A$3:$C$52,3,0),IFERROR(VLOOKUP(B91,Precificação!$A$3:$B$52,2,0),0)))</f>
      </c>
      <c r="H91" s="16">
        <f>IF(D91="","",F91-G91)</f>
      </c>
    </row>
    <row r="92" spans="1:8" x14ac:dyDescent="0.25">
      <c r="A92" s="13"/>
      <c r="B92" s="9"/>
      <c r="C92" s="13"/>
      <c r="D92" s="11"/>
      <c r="E92" s="10"/>
      <c r="F92" s="15">
        <f>IF(D92="","",D92*E92)</f>
      </c>
      <c r="G92" s="15">
        <f>IF(D92="","",D92*IFERROR(VLOOKUP(B92,'Controle de Estoque'!$A$3:$C$52,3,0),IFERROR(VLOOKUP(B92,Precificação!$A$3:$B$52,2,0),0)))</f>
      </c>
      <c r="H92" s="16">
        <f>IF(D92="","",F92-G92)</f>
      </c>
    </row>
    <row r="93" spans="1:8" x14ac:dyDescent="0.25">
      <c r="A93" s="13"/>
      <c r="B93" s="9"/>
      <c r="C93" s="13"/>
      <c r="D93" s="11"/>
      <c r="E93" s="10"/>
      <c r="F93" s="15">
        <f>IF(D93="","",D93*E93)</f>
      </c>
      <c r="G93" s="15">
        <f>IF(D93="","",D93*IFERROR(VLOOKUP(B93,'Controle de Estoque'!$A$3:$C$52,3,0),IFERROR(VLOOKUP(B93,Precificação!$A$3:$B$52,2,0),0)))</f>
      </c>
      <c r="H93" s="16">
        <f>IF(D93="","",F93-G93)</f>
      </c>
    </row>
    <row r="94" spans="1:8" x14ac:dyDescent="0.25">
      <c r="A94" s="13"/>
      <c r="B94" s="9"/>
      <c r="C94" s="13"/>
      <c r="D94" s="11"/>
      <c r="E94" s="10"/>
      <c r="F94" s="15">
        <f>IF(D94="","",D94*E94)</f>
      </c>
      <c r="G94" s="15">
        <f>IF(D94="","",D94*IFERROR(VLOOKUP(B94,'Controle de Estoque'!$A$3:$C$52,3,0),IFERROR(VLOOKUP(B94,Precificação!$A$3:$B$52,2,0),0)))</f>
      </c>
      <c r="H94" s="16">
        <f>IF(D94="","",F94-G94)</f>
      </c>
    </row>
    <row r="95" spans="1:8" x14ac:dyDescent="0.25">
      <c r="A95" s="13"/>
      <c r="B95" s="9"/>
      <c r="C95" s="13"/>
      <c r="D95" s="11"/>
      <c r="E95" s="10"/>
      <c r="F95" s="15">
        <f>IF(D95="","",D95*E95)</f>
      </c>
      <c r="G95" s="15">
        <f>IF(D95="","",D95*IFERROR(VLOOKUP(B95,'Controle de Estoque'!$A$3:$C$52,3,0),IFERROR(VLOOKUP(B95,Precificação!$A$3:$B$52,2,0),0)))</f>
      </c>
      <c r="H95" s="16">
        <f>IF(D95="","",F95-G95)</f>
      </c>
    </row>
    <row r="96" spans="1:8" x14ac:dyDescent="0.25">
      <c r="A96" s="13"/>
      <c r="B96" s="9"/>
      <c r="C96" s="13"/>
      <c r="D96" s="11"/>
      <c r="E96" s="10"/>
      <c r="F96" s="15">
        <f>IF(D96="","",D96*E96)</f>
      </c>
      <c r="G96" s="15">
        <f>IF(D96="","",D96*IFERROR(VLOOKUP(B96,'Controle de Estoque'!$A$3:$C$52,3,0),IFERROR(VLOOKUP(B96,Precificação!$A$3:$B$52,2,0),0)))</f>
      </c>
      <c r="H96" s="16">
        <f>IF(D96="","",F96-G96)</f>
      </c>
    </row>
    <row r="97" spans="1:8" x14ac:dyDescent="0.25">
      <c r="A97" s="13"/>
      <c r="B97" s="9"/>
      <c r="C97" s="13"/>
      <c r="D97" s="11"/>
      <c r="E97" s="10"/>
      <c r="F97" s="15">
        <f>IF(D97="","",D97*E97)</f>
      </c>
      <c r="G97" s="15">
        <f>IF(D97="","",D97*IFERROR(VLOOKUP(B97,'Controle de Estoque'!$A$3:$C$52,3,0),IFERROR(VLOOKUP(B97,Precificação!$A$3:$B$52,2,0),0)))</f>
      </c>
      <c r="H97" s="16">
        <f>IF(D97="","",F97-G97)</f>
      </c>
    </row>
    <row r="98" spans="1:8" x14ac:dyDescent="0.25">
      <c r="A98" s="13"/>
      <c r="B98" s="9"/>
      <c r="C98" s="13"/>
      <c r="D98" s="11"/>
      <c r="E98" s="10"/>
      <c r="F98" s="15">
        <f>IF(D98="","",D98*E98)</f>
      </c>
      <c r="G98" s="15">
        <f>IF(D98="","",D98*IFERROR(VLOOKUP(B98,'Controle de Estoque'!$A$3:$C$52,3,0),IFERROR(VLOOKUP(B98,Precificação!$A$3:$B$52,2,0),0)))</f>
      </c>
      <c r="H98" s="16">
        <f>IF(D98="","",F98-G98)</f>
      </c>
    </row>
    <row r="99" spans="1:8" x14ac:dyDescent="0.25">
      <c r="A99" s="13"/>
      <c r="B99" s="9"/>
      <c r="C99" s="13"/>
      <c r="D99" s="11"/>
      <c r="E99" s="10"/>
      <c r="F99" s="15">
        <f>IF(D99="","",D99*E99)</f>
      </c>
      <c r="G99" s="15">
        <f>IF(D99="","",D99*IFERROR(VLOOKUP(B99,'Controle de Estoque'!$A$3:$C$52,3,0),IFERROR(VLOOKUP(B99,Precificação!$A$3:$B$52,2,0),0)))</f>
      </c>
      <c r="H99" s="16">
        <f>IF(D99="","",F99-G99)</f>
      </c>
    </row>
    <row r="100" spans="1:8" x14ac:dyDescent="0.25">
      <c r="A100" s="13"/>
      <c r="B100" s="9"/>
      <c r="C100" s="13"/>
      <c r="D100" s="11"/>
      <c r="E100" s="10"/>
      <c r="F100" s="15">
        <f>IF(D100="","",D100*E100)</f>
      </c>
      <c r="G100" s="15">
        <f>IF(D100="","",D100*IFERROR(VLOOKUP(B100,'Controle de Estoque'!$A$3:$C$52,3,0),IFERROR(VLOOKUP(B100,Precificação!$A$3:$B$52,2,0),0)))</f>
      </c>
      <c r="H100" s="16">
        <f>IF(D100="","",F100-G100)</f>
      </c>
    </row>
    <row r="101" spans="1:8" x14ac:dyDescent="0.25">
      <c r="A101" s="13"/>
      <c r="B101" s="9"/>
      <c r="C101" s="13"/>
      <c r="D101" s="11"/>
      <c r="E101" s="10"/>
      <c r="F101" s="15">
        <f>IF(D101="","",D101*E101)</f>
      </c>
      <c r="G101" s="15">
        <f>IF(D101="","",D101*IFERROR(VLOOKUP(B101,'Controle de Estoque'!$A$3:$C$52,3,0),IFERROR(VLOOKUP(B101,Precificação!$A$3:$B$52,2,0),0)))</f>
      </c>
      <c r="H101" s="16">
        <f>IF(D101="","",F101-G101)</f>
      </c>
    </row>
    <row r="102" spans="1:8" x14ac:dyDescent="0.25">
      <c r="A102" s="13"/>
      <c r="B102" s="9"/>
      <c r="C102" s="13"/>
      <c r="D102" s="11"/>
      <c r="E102" s="10"/>
      <c r="F102" s="15">
        <f>IF(D102="","",D102*E102)</f>
      </c>
      <c r="G102" s="15">
        <f>IF(D102="","",D102*IFERROR(VLOOKUP(B102,'Controle de Estoque'!$A$3:$C$52,3,0),IFERROR(VLOOKUP(B102,Precificação!$A$3:$B$52,2,0),0)))</f>
      </c>
      <c r="H102" s="16">
        <f>IF(D102="","",F102-G102)</f>
      </c>
    </row>
    <row r="103" spans="1:8" x14ac:dyDescent="0.25">
      <c r="A103" s="13"/>
      <c r="B103" s="9"/>
      <c r="C103" s="13"/>
      <c r="D103" s="11"/>
      <c r="E103" s="10"/>
      <c r="F103" s="15">
        <f>IF(D103="","",D103*E103)</f>
      </c>
      <c r="G103" s="15">
        <f>IF(D103="","",D103*IFERROR(VLOOKUP(B103,'Controle de Estoque'!$A$3:$C$52,3,0),IFERROR(VLOOKUP(B103,Precificação!$A$3:$B$52,2,0),0)))</f>
      </c>
      <c r="H103" s="16">
        <f>IF(D103="","",F103-G103)</f>
      </c>
    </row>
    <row r="104" spans="1:8" x14ac:dyDescent="0.25">
      <c r="A104" s="13"/>
      <c r="B104" s="9"/>
      <c r="C104" s="13"/>
      <c r="D104" s="11"/>
      <c r="E104" s="10"/>
      <c r="F104" s="15">
        <f>IF(D104="","",D104*E104)</f>
      </c>
      <c r="G104" s="15">
        <f>IF(D104="","",D104*IFERROR(VLOOKUP(B104,'Controle de Estoque'!$A$3:$C$52,3,0),IFERROR(VLOOKUP(B104,Precificação!$A$3:$B$52,2,0),0)))</f>
      </c>
      <c r="H104" s="16">
        <f>IF(D104="","",F104-G104)</f>
      </c>
    </row>
    <row r="105" spans="1:8" x14ac:dyDescent="0.25">
      <c r="A105" s="13"/>
      <c r="B105" s="9"/>
      <c r="C105" s="13"/>
      <c r="D105" s="11"/>
      <c r="E105" s="10"/>
      <c r="F105" s="15">
        <f>IF(D105="","",D105*E105)</f>
      </c>
      <c r="G105" s="15">
        <f>IF(D105="","",D105*IFERROR(VLOOKUP(B105,'Controle de Estoque'!$A$3:$C$52,3,0),IFERROR(VLOOKUP(B105,Precificação!$A$3:$B$52,2,0),0)))</f>
      </c>
      <c r="H105" s="16">
        <f>IF(D105="","",F105-G105)</f>
      </c>
    </row>
    <row r="106" spans="1:8" x14ac:dyDescent="0.25">
      <c r="A106" s="13"/>
      <c r="B106" s="9"/>
      <c r="C106" s="13"/>
      <c r="D106" s="11"/>
      <c r="E106" s="10"/>
      <c r="F106" s="15">
        <f>IF(D106="","",D106*E106)</f>
      </c>
      <c r="G106" s="15">
        <f>IF(D106="","",D106*IFERROR(VLOOKUP(B106,'Controle de Estoque'!$A$3:$C$52,3,0),IFERROR(VLOOKUP(B106,Precificação!$A$3:$B$52,2,0),0)))</f>
      </c>
      <c r="H106" s="16">
        <f>IF(D106="","",F106-G106)</f>
      </c>
    </row>
    <row r="107" spans="1:8" x14ac:dyDescent="0.25">
      <c r="A107" s="13"/>
      <c r="B107" s="9"/>
      <c r="C107" s="13"/>
      <c r="D107" s="11"/>
      <c r="E107" s="10"/>
      <c r="F107" s="15">
        <f>IF(D107="","",D107*E107)</f>
      </c>
      <c r="G107" s="15">
        <f>IF(D107="","",D107*IFERROR(VLOOKUP(B107,'Controle de Estoque'!$A$3:$C$52,3,0),IFERROR(VLOOKUP(B107,Precificação!$A$3:$B$52,2,0),0)))</f>
      </c>
      <c r="H107" s="16">
        <f>IF(D107="","",F107-G107)</f>
      </c>
    </row>
    <row r="108" spans="1:8" x14ac:dyDescent="0.25">
      <c r="A108" s="13"/>
      <c r="B108" s="9"/>
      <c r="C108" s="13"/>
      <c r="D108" s="11"/>
      <c r="E108" s="10"/>
      <c r="F108" s="15">
        <f>IF(D108="","",D108*E108)</f>
      </c>
      <c r="G108" s="15">
        <f>IF(D108="","",D108*IFERROR(VLOOKUP(B108,'Controle de Estoque'!$A$3:$C$52,3,0),IFERROR(VLOOKUP(B108,Precificação!$A$3:$B$52,2,0),0)))</f>
      </c>
      <c r="H108" s="16">
        <f>IF(D108="","",F108-G108)</f>
      </c>
    </row>
    <row r="109" spans="1:8" x14ac:dyDescent="0.25">
      <c r="A109" s="13"/>
      <c r="B109" s="9"/>
      <c r="C109" s="13"/>
      <c r="D109" s="11"/>
      <c r="E109" s="10"/>
      <c r="F109" s="15">
        <f>IF(D109="","",D109*E109)</f>
      </c>
      <c r="G109" s="15">
        <f>IF(D109="","",D109*IFERROR(VLOOKUP(B109,'Controle de Estoque'!$A$3:$C$52,3,0),IFERROR(VLOOKUP(B109,Precificação!$A$3:$B$52,2,0),0)))</f>
      </c>
      <c r="H109" s="16">
        <f>IF(D109="","",F109-G109)</f>
      </c>
    </row>
    <row r="110" spans="1:8" x14ac:dyDescent="0.25">
      <c r="A110" s="13"/>
      <c r="B110" s="9"/>
      <c r="C110" s="13"/>
      <c r="D110" s="11"/>
      <c r="E110" s="10"/>
      <c r="F110" s="15">
        <f>IF(D110="","",D110*E110)</f>
      </c>
      <c r="G110" s="15">
        <f>IF(D110="","",D110*IFERROR(VLOOKUP(B110,'Controle de Estoque'!$A$3:$C$52,3,0),IFERROR(VLOOKUP(B110,Precificação!$A$3:$B$52,2,0),0)))</f>
      </c>
      <c r="H110" s="16">
        <f>IF(D110="","",F110-G110)</f>
      </c>
    </row>
    <row r="111" spans="1:8" x14ac:dyDescent="0.25">
      <c r="A111" s="13"/>
      <c r="B111" s="9"/>
      <c r="C111" s="13"/>
      <c r="D111" s="11"/>
      <c r="E111" s="10"/>
      <c r="F111" s="15">
        <f>IF(D111="","",D111*E111)</f>
      </c>
      <c r="G111" s="15">
        <f>IF(D111="","",D111*IFERROR(VLOOKUP(B111,'Controle de Estoque'!$A$3:$C$52,3,0),IFERROR(VLOOKUP(B111,Precificação!$A$3:$B$52,2,0),0)))</f>
      </c>
      <c r="H111" s="16">
        <f>IF(D111="","",F111-G111)</f>
      </c>
    </row>
    <row r="112" spans="1:8" x14ac:dyDescent="0.25">
      <c r="A112" s="13"/>
      <c r="B112" s="9"/>
      <c r="C112" s="13"/>
      <c r="D112" s="11"/>
      <c r="E112" s="10"/>
      <c r="F112" s="15">
        <f>IF(D112="","",D112*E112)</f>
      </c>
      <c r="G112" s="15">
        <f>IF(D112="","",D112*IFERROR(VLOOKUP(B112,'Controle de Estoque'!$A$3:$C$52,3,0),IFERROR(VLOOKUP(B112,Precificação!$A$3:$B$52,2,0),0)))</f>
      </c>
      <c r="H112" s="16">
        <f>IF(D112="","",F112-G112)</f>
      </c>
    </row>
    <row r="113" spans="1:8" x14ac:dyDescent="0.25">
      <c r="A113" s="13"/>
      <c r="B113" s="9"/>
      <c r="C113" s="13"/>
      <c r="D113" s="11"/>
      <c r="E113" s="10"/>
      <c r="F113" s="15">
        <f>IF(D113="","",D113*E113)</f>
      </c>
      <c r="G113" s="15">
        <f>IF(D113="","",D113*IFERROR(VLOOKUP(B113,'Controle de Estoque'!$A$3:$C$52,3,0),IFERROR(VLOOKUP(B113,Precificação!$A$3:$B$52,2,0),0)))</f>
      </c>
      <c r="H113" s="16">
        <f>IF(D113="","",F113-G113)</f>
      </c>
    </row>
    <row r="114" spans="1:8" x14ac:dyDescent="0.25">
      <c r="A114" s="13"/>
      <c r="B114" s="9"/>
      <c r="C114" s="13"/>
      <c r="D114" s="11"/>
      <c r="E114" s="10"/>
      <c r="F114" s="15">
        <f>IF(D114="","",D114*E114)</f>
      </c>
      <c r="G114" s="15">
        <f>IF(D114="","",D114*IFERROR(VLOOKUP(B114,'Controle de Estoque'!$A$3:$C$52,3,0),IFERROR(VLOOKUP(B114,Precificação!$A$3:$B$52,2,0),0)))</f>
      </c>
      <c r="H114" s="16">
        <f>IF(D114="","",F114-G114)</f>
      </c>
    </row>
    <row r="115" spans="1:8" x14ac:dyDescent="0.25">
      <c r="A115" s="13"/>
      <c r="B115" s="9"/>
      <c r="C115" s="13"/>
      <c r="D115" s="11"/>
      <c r="E115" s="10"/>
      <c r="F115" s="15">
        <f>IF(D115="","",D115*E115)</f>
      </c>
      <c r="G115" s="15">
        <f>IF(D115="","",D115*IFERROR(VLOOKUP(B115,'Controle de Estoque'!$A$3:$C$52,3,0),IFERROR(VLOOKUP(B115,Precificação!$A$3:$B$52,2,0),0)))</f>
      </c>
      <c r="H115" s="16">
        <f>IF(D115="","",F115-G115)</f>
      </c>
    </row>
    <row r="116" spans="1:8" x14ac:dyDescent="0.25">
      <c r="A116" s="13"/>
      <c r="B116" s="9"/>
      <c r="C116" s="13"/>
      <c r="D116" s="11"/>
      <c r="E116" s="10"/>
      <c r="F116" s="15">
        <f>IF(D116="","",D116*E116)</f>
      </c>
      <c r="G116" s="15">
        <f>IF(D116="","",D116*IFERROR(VLOOKUP(B116,'Controle de Estoque'!$A$3:$C$52,3,0),IFERROR(VLOOKUP(B116,Precificação!$A$3:$B$52,2,0),0)))</f>
      </c>
      <c r="H116" s="16">
        <f>IF(D116="","",F116-G116)</f>
      </c>
    </row>
    <row r="117" spans="1:8" x14ac:dyDescent="0.25">
      <c r="A117" s="13"/>
      <c r="B117" s="9"/>
      <c r="C117" s="13"/>
      <c r="D117" s="11"/>
      <c r="E117" s="10"/>
      <c r="F117" s="15">
        <f>IF(D117="","",D117*E117)</f>
      </c>
      <c r="G117" s="15">
        <f>IF(D117="","",D117*IFERROR(VLOOKUP(B117,'Controle de Estoque'!$A$3:$C$52,3,0),IFERROR(VLOOKUP(B117,Precificação!$A$3:$B$52,2,0),0)))</f>
      </c>
      <c r="H117" s="16">
        <f>IF(D117="","",F117-G117)</f>
      </c>
    </row>
    <row r="118" spans="1:8" x14ac:dyDescent="0.25">
      <c r="A118" s="13"/>
      <c r="B118" s="9"/>
      <c r="C118" s="13"/>
      <c r="D118" s="11"/>
      <c r="E118" s="10"/>
      <c r="F118" s="15">
        <f>IF(D118="","",D118*E118)</f>
      </c>
      <c r="G118" s="15">
        <f>IF(D118="","",D118*IFERROR(VLOOKUP(B118,'Controle de Estoque'!$A$3:$C$52,3,0),IFERROR(VLOOKUP(B118,Precificação!$A$3:$B$52,2,0),0)))</f>
      </c>
      <c r="H118" s="16">
        <f>IF(D118="","",F118-G118)</f>
      </c>
    </row>
    <row r="119" spans="1:8" x14ac:dyDescent="0.25">
      <c r="A119" s="13"/>
      <c r="B119" s="9"/>
      <c r="C119" s="13"/>
      <c r="D119" s="11"/>
      <c r="E119" s="10"/>
      <c r="F119" s="15">
        <f>IF(D119="","",D119*E119)</f>
      </c>
      <c r="G119" s="15">
        <f>IF(D119="","",D119*IFERROR(VLOOKUP(B119,'Controle de Estoque'!$A$3:$C$52,3,0),IFERROR(VLOOKUP(B119,Precificação!$A$3:$B$52,2,0),0)))</f>
      </c>
      <c r="H119" s="16">
        <f>IF(D119="","",F119-G119)</f>
      </c>
    </row>
    <row r="120" spans="1:8" x14ac:dyDescent="0.25">
      <c r="A120" s="13"/>
      <c r="B120" s="9"/>
      <c r="C120" s="13"/>
      <c r="D120" s="11"/>
      <c r="E120" s="10"/>
      <c r="F120" s="15">
        <f>IF(D120="","",D120*E120)</f>
      </c>
      <c r="G120" s="15">
        <f>IF(D120="","",D120*IFERROR(VLOOKUP(B120,'Controle de Estoque'!$A$3:$C$52,3,0),IFERROR(VLOOKUP(B120,Precificação!$A$3:$B$52,2,0),0)))</f>
      </c>
      <c r="H120" s="16">
        <f>IF(D120="","",F120-G120)</f>
      </c>
    </row>
    <row r="121" spans="1:8" x14ac:dyDescent="0.25">
      <c r="A121" s="13"/>
      <c r="B121" s="9"/>
      <c r="C121" s="13"/>
      <c r="D121" s="11"/>
      <c r="E121" s="10"/>
      <c r="F121" s="15">
        <f>IF(D121="","",D121*E121)</f>
      </c>
      <c r="G121" s="15">
        <f>IF(D121="","",D121*IFERROR(VLOOKUP(B121,'Controle de Estoque'!$A$3:$C$52,3,0),IFERROR(VLOOKUP(B121,Precificação!$A$3:$B$52,2,0),0)))</f>
      </c>
      <c r="H121" s="16">
        <f>IF(D121="","",F121-G121)</f>
      </c>
    </row>
    <row r="122" spans="1:8" x14ac:dyDescent="0.25">
      <c r="A122" s="13"/>
      <c r="B122" s="9"/>
      <c r="C122" s="13"/>
      <c r="D122" s="11"/>
      <c r="E122" s="10"/>
      <c r="F122" s="15">
        <f>IF(D122="","",D122*E122)</f>
      </c>
      <c r="G122" s="15">
        <f>IF(D122="","",D122*IFERROR(VLOOKUP(B122,'Controle de Estoque'!$A$3:$C$52,3,0),IFERROR(VLOOKUP(B122,Precificação!$A$3:$B$52,2,0),0)))</f>
      </c>
      <c r="H122" s="16">
        <f>IF(D122="","",F122-G122)</f>
      </c>
    </row>
    <row r="123" spans="1:8" x14ac:dyDescent="0.25">
      <c r="A123" s="13"/>
      <c r="B123" s="9"/>
      <c r="C123" s="13"/>
      <c r="D123" s="11"/>
      <c r="E123" s="10"/>
      <c r="F123" s="15">
        <f>IF(D123="","",D123*E123)</f>
      </c>
      <c r="G123" s="15">
        <f>IF(D123="","",D123*IFERROR(VLOOKUP(B123,'Controle de Estoque'!$A$3:$C$52,3,0),IFERROR(VLOOKUP(B123,Precificação!$A$3:$B$52,2,0),0)))</f>
      </c>
      <c r="H123" s="16">
        <f>IF(D123="","",F123-G123)</f>
      </c>
    </row>
    <row r="124" spans="1:8" x14ac:dyDescent="0.25">
      <c r="A124" s="13"/>
      <c r="B124" s="9"/>
      <c r="C124" s="13"/>
      <c r="D124" s="11"/>
      <c r="E124" s="10"/>
      <c r="F124" s="15">
        <f>IF(D124="","",D124*E124)</f>
      </c>
      <c r="G124" s="15">
        <f>IF(D124="","",D124*IFERROR(VLOOKUP(B124,'Controle de Estoque'!$A$3:$C$52,3,0),IFERROR(VLOOKUP(B124,Precificação!$A$3:$B$52,2,0),0)))</f>
      </c>
      <c r="H124" s="16">
        <f>IF(D124="","",F124-G124)</f>
      </c>
    </row>
    <row r="125" spans="1:8" x14ac:dyDescent="0.25">
      <c r="A125" s="13"/>
      <c r="B125" s="9"/>
      <c r="C125" s="13"/>
      <c r="D125" s="11"/>
      <c r="E125" s="10"/>
      <c r="F125" s="15">
        <f>IF(D125="","",D125*E125)</f>
      </c>
      <c r="G125" s="15">
        <f>IF(D125="","",D125*IFERROR(VLOOKUP(B125,'Controle de Estoque'!$A$3:$C$52,3,0),IFERROR(VLOOKUP(B125,Precificação!$A$3:$B$52,2,0),0)))</f>
      </c>
      <c r="H125" s="16">
        <f>IF(D125="","",F125-G125)</f>
      </c>
    </row>
    <row r="126" spans="1:8" x14ac:dyDescent="0.25">
      <c r="A126" s="13"/>
      <c r="B126" s="9"/>
      <c r="C126" s="13"/>
      <c r="D126" s="11"/>
      <c r="E126" s="10"/>
      <c r="F126" s="15">
        <f>IF(D126="","",D126*E126)</f>
      </c>
      <c r="G126" s="15">
        <f>IF(D126="","",D126*IFERROR(VLOOKUP(B126,'Controle de Estoque'!$A$3:$C$52,3,0),IFERROR(VLOOKUP(B126,Precificação!$A$3:$B$52,2,0),0)))</f>
      </c>
      <c r="H126" s="16">
        <f>IF(D126="","",F126-G126)</f>
      </c>
    </row>
    <row r="127" spans="1:8" x14ac:dyDescent="0.25">
      <c r="A127" s="13"/>
      <c r="B127" s="9"/>
      <c r="C127" s="13"/>
      <c r="D127" s="11"/>
      <c r="E127" s="10"/>
      <c r="F127" s="15">
        <f>IF(D127="","",D127*E127)</f>
      </c>
      <c r="G127" s="15">
        <f>IF(D127="","",D127*IFERROR(VLOOKUP(B127,'Controle de Estoque'!$A$3:$C$52,3,0),IFERROR(VLOOKUP(B127,Precificação!$A$3:$B$52,2,0),0)))</f>
      </c>
      <c r="H127" s="16">
        <f>IF(D127="","",F127-G127)</f>
      </c>
    </row>
    <row r="128" spans="1:8" x14ac:dyDescent="0.25">
      <c r="A128" s="13"/>
      <c r="B128" s="9"/>
      <c r="C128" s="13"/>
      <c r="D128" s="11"/>
      <c r="E128" s="10"/>
      <c r="F128" s="15">
        <f>IF(D128="","",D128*E128)</f>
      </c>
      <c r="G128" s="15">
        <f>IF(D128="","",D128*IFERROR(VLOOKUP(B128,'Controle de Estoque'!$A$3:$C$52,3,0),IFERROR(VLOOKUP(B128,Precificação!$A$3:$B$52,2,0),0)))</f>
      </c>
      <c r="H128" s="16">
        <f>IF(D128="","",F128-G128)</f>
      </c>
    </row>
    <row r="129" spans="1:8" x14ac:dyDescent="0.25">
      <c r="A129" s="13"/>
      <c r="B129" s="9"/>
      <c r="C129" s="13"/>
      <c r="D129" s="11"/>
      <c r="E129" s="10"/>
      <c r="F129" s="15">
        <f>IF(D129="","",D129*E129)</f>
      </c>
      <c r="G129" s="15">
        <f>IF(D129="","",D129*IFERROR(VLOOKUP(B129,'Controle de Estoque'!$A$3:$C$52,3,0),IFERROR(VLOOKUP(B129,Precificação!$A$3:$B$52,2,0),0)))</f>
      </c>
      <c r="H129" s="16">
        <f>IF(D129="","",F129-G129)</f>
      </c>
    </row>
    <row r="130" spans="1:8" x14ac:dyDescent="0.25">
      <c r="A130" s="13"/>
      <c r="B130" s="9"/>
      <c r="C130" s="13"/>
      <c r="D130" s="11"/>
      <c r="E130" s="10"/>
      <c r="F130" s="15">
        <f>IF(D130="","",D130*E130)</f>
      </c>
      <c r="G130" s="15">
        <f>IF(D130="","",D130*IFERROR(VLOOKUP(B130,'Controle de Estoque'!$A$3:$C$52,3,0),IFERROR(VLOOKUP(B130,Precificação!$A$3:$B$52,2,0),0)))</f>
      </c>
      <c r="H130" s="16">
        <f>IF(D130="","",F130-G130)</f>
      </c>
    </row>
    <row r="131" spans="1:8" x14ac:dyDescent="0.25">
      <c r="A131" s="13"/>
      <c r="B131" s="9"/>
      <c r="C131" s="13"/>
      <c r="D131" s="11"/>
      <c r="E131" s="10"/>
      <c r="F131" s="15">
        <f>IF(D131="","",D131*E131)</f>
      </c>
      <c r="G131" s="15">
        <f>IF(D131="","",D131*IFERROR(VLOOKUP(B131,'Controle de Estoque'!$A$3:$C$52,3,0),IFERROR(VLOOKUP(B131,Precificação!$A$3:$B$52,2,0),0)))</f>
      </c>
      <c r="H131" s="16">
        <f>IF(D131="","",F131-G131)</f>
      </c>
    </row>
    <row r="132" spans="1:8" x14ac:dyDescent="0.25">
      <c r="A132" s="13"/>
      <c r="B132" s="9"/>
      <c r="C132" s="13"/>
      <c r="D132" s="11"/>
      <c r="E132" s="10"/>
      <c r="F132" s="15">
        <f>IF(D132="","",D132*E132)</f>
      </c>
      <c r="G132" s="15">
        <f>IF(D132="","",D132*IFERROR(VLOOKUP(B132,'Controle de Estoque'!$A$3:$C$52,3,0),IFERROR(VLOOKUP(B132,Precificação!$A$3:$B$52,2,0),0)))</f>
      </c>
      <c r="H132" s="16">
        <f>IF(D132="","",F132-G132)</f>
      </c>
    </row>
    <row r="133" spans="1:8" x14ac:dyDescent="0.25">
      <c r="A133" s="13"/>
      <c r="B133" s="9"/>
      <c r="C133" s="13"/>
      <c r="D133" s="11"/>
      <c r="E133" s="10"/>
      <c r="F133" s="15">
        <f>IF(D133="","",D133*E133)</f>
      </c>
      <c r="G133" s="15">
        <f>IF(D133="","",D133*IFERROR(VLOOKUP(B133,'Controle de Estoque'!$A$3:$C$52,3,0),IFERROR(VLOOKUP(B133,Precificação!$A$3:$B$52,2,0),0)))</f>
      </c>
      <c r="H133" s="16">
        <f>IF(D133="","",F133-G133)</f>
      </c>
    </row>
    <row r="134" spans="1:8" x14ac:dyDescent="0.25">
      <c r="A134" s="13"/>
      <c r="B134" s="9"/>
      <c r="C134" s="13"/>
      <c r="D134" s="11"/>
      <c r="E134" s="10"/>
      <c r="F134" s="15">
        <f>IF(D134="","",D134*E134)</f>
      </c>
      <c r="G134" s="15">
        <f>IF(D134="","",D134*IFERROR(VLOOKUP(B134,'Controle de Estoque'!$A$3:$C$52,3,0),IFERROR(VLOOKUP(B134,Precificação!$A$3:$B$52,2,0),0)))</f>
      </c>
      <c r="H134" s="16">
        <f>IF(D134="","",F134-G134)</f>
      </c>
    </row>
    <row r="135" spans="1:8" x14ac:dyDescent="0.25">
      <c r="A135" s="13"/>
      <c r="B135" s="9"/>
      <c r="C135" s="13"/>
      <c r="D135" s="11"/>
      <c r="E135" s="10"/>
      <c r="F135" s="15">
        <f>IF(D135="","",D135*E135)</f>
      </c>
      <c r="G135" s="15">
        <f>IF(D135="","",D135*IFERROR(VLOOKUP(B135,'Controle de Estoque'!$A$3:$C$52,3,0),IFERROR(VLOOKUP(B135,Precificação!$A$3:$B$52,2,0),0)))</f>
      </c>
      <c r="H135" s="16">
        <f>IF(D135="","",F135-G135)</f>
      </c>
    </row>
    <row r="136" spans="1:8" x14ac:dyDescent="0.25">
      <c r="A136" s="13"/>
      <c r="B136" s="9"/>
      <c r="C136" s="13"/>
      <c r="D136" s="11"/>
      <c r="E136" s="10"/>
      <c r="F136" s="15">
        <f>IF(D136="","",D136*E136)</f>
      </c>
      <c r="G136" s="15">
        <f>IF(D136="","",D136*IFERROR(VLOOKUP(B136,'Controle de Estoque'!$A$3:$C$52,3,0),IFERROR(VLOOKUP(B136,Precificação!$A$3:$B$52,2,0),0)))</f>
      </c>
      <c r="H136" s="16">
        <f>IF(D136="","",F136-G136)</f>
      </c>
    </row>
    <row r="137" spans="1:8" x14ac:dyDescent="0.25">
      <c r="A137" s="13"/>
      <c r="B137" s="9"/>
      <c r="C137" s="13"/>
      <c r="D137" s="11"/>
      <c r="E137" s="10"/>
      <c r="F137" s="15">
        <f>IF(D137="","",D137*E137)</f>
      </c>
      <c r="G137" s="15">
        <f>IF(D137="","",D137*IFERROR(VLOOKUP(B137,'Controle de Estoque'!$A$3:$C$52,3,0),IFERROR(VLOOKUP(B137,Precificação!$A$3:$B$52,2,0),0)))</f>
      </c>
      <c r="H137" s="16">
        <f>IF(D137="","",F137-G137)</f>
      </c>
    </row>
    <row r="138" spans="1:8" x14ac:dyDescent="0.25">
      <c r="A138" s="13"/>
      <c r="B138" s="9"/>
      <c r="C138" s="13"/>
      <c r="D138" s="11"/>
      <c r="E138" s="10"/>
      <c r="F138" s="15">
        <f>IF(D138="","",D138*E138)</f>
      </c>
      <c r="G138" s="15">
        <f>IF(D138="","",D138*IFERROR(VLOOKUP(B138,'Controle de Estoque'!$A$3:$C$52,3,0),IFERROR(VLOOKUP(B138,Precificação!$A$3:$B$52,2,0),0)))</f>
      </c>
      <c r="H138" s="16">
        <f>IF(D138="","",F138-G138)</f>
      </c>
    </row>
    <row r="139" spans="1:8" x14ac:dyDescent="0.25">
      <c r="A139" s="13"/>
      <c r="B139" s="9"/>
      <c r="C139" s="13"/>
      <c r="D139" s="11"/>
      <c r="E139" s="10"/>
      <c r="F139" s="15">
        <f>IF(D139="","",D139*E139)</f>
      </c>
      <c r="G139" s="15">
        <f>IF(D139="","",D139*IFERROR(VLOOKUP(B139,'Controle de Estoque'!$A$3:$C$52,3,0),IFERROR(VLOOKUP(B139,Precificação!$A$3:$B$52,2,0),0)))</f>
      </c>
      <c r="H139" s="16">
        <f>IF(D139="","",F139-G139)</f>
      </c>
    </row>
    <row r="140" spans="1:8" x14ac:dyDescent="0.25">
      <c r="A140" s="13"/>
      <c r="B140" s="9"/>
      <c r="C140" s="13"/>
      <c r="D140" s="11"/>
      <c r="E140" s="10"/>
      <c r="F140" s="15">
        <f>IF(D140="","",D140*E140)</f>
      </c>
      <c r="G140" s="15">
        <f>IF(D140="","",D140*IFERROR(VLOOKUP(B140,'Controle de Estoque'!$A$3:$C$52,3,0),IFERROR(VLOOKUP(B140,Precificação!$A$3:$B$52,2,0),0)))</f>
      </c>
      <c r="H140" s="16">
        <f>IF(D140="","",F140-G140)</f>
      </c>
    </row>
    <row r="141" spans="1:8" x14ac:dyDescent="0.25">
      <c r="A141" s="13"/>
      <c r="B141" s="9"/>
      <c r="C141" s="13"/>
      <c r="D141" s="11"/>
      <c r="E141" s="10"/>
      <c r="F141" s="15">
        <f>IF(D141="","",D141*E141)</f>
      </c>
      <c r="G141" s="15">
        <f>IF(D141="","",D141*IFERROR(VLOOKUP(B141,'Controle de Estoque'!$A$3:$C$52,3,0),IFERROR(VLOOKUP(B141,Precificação!$A$3:$B$52,2,0),0)))</f>
      </c>
      <c r="H141" s="16">
        <f>IF(D141="","",F141-G141)</f>
      </c>
    </row>
    <row r="142" spans="1:8" x14ac:dyDescent="0.25">
      <c r="A142" s="13"/>
      <c r="B142" s="9"/>
      <c r="C142" s="13"/>
      <c r="D142" s="11"/>
      <c r="E142" s="10"/>
      <c r="F142" s="15">
        <f>IF(D142="","",D142*E142)</f>
      </c>
      <c r="G142" s="15">
        <f>IF(D142="","",D142*IFERROR(VLOOKUP(B142,'Controle de Estoque'!$A$3:$C$52,3,0),IFERROR(VLOOKUP(B142,Precificação!$A$3:$B$52,2,0),0)))</f>
      </c>
      <c r="H142" s="16">
        <f>IF(D142="","",F142-G142)</f>
      </c>
    </row>
    <row r="143" spans="1:8" x14ac:dyDescent="0.25">
      <c r="A143" s="13"/>
      <c r="B143" s="9"/>
      <c r="C143" s="13"/>
      <c r="D143" s="11"/>
      <c r="E143" s="10"/>
      <c r="F143" s="15">
        <f>IF(D143="","",D143*E143)</f>
      </c>
      <c r="G143" s="15">
        <f>IF(D143="","",D143*IFERROR(VLOOKUP(B143,'Controle de Estoque'!$A$3:$C$52,3,0),IFERROR(VLOOKUP(B143,Precificação!$A$3:$B$52,2,0),0)))</f>
      </c>
      <c r="H143" s="16">
        <f>IF(D143="","",F143-G143)</f>
      </c>
    </row>
    <row r="144" spans="1:8" x14ac:dyDescent="0.25">
      <c r="A144" s="13"/>
      <c r="B144" s="9"/>
      <c r="C144" s="13"/>
      <c r="D144" s="11"/>
      <c r="E144" s="10"/>
      <c r="F144" s="15">
        <f>IF(D144="","",D144*E144)</f>
      </c>
      <c r="G144" s="15">
        <f>IF(D144="","",D144*IFERROR(VLOOKUP(B144,'Controle de Estoque'!$A$3:$C$52,3,0),IFERROR(VLOOKUP(B144,Precificação!$A$3:$B$52,2,0),0)))</f>
      </c>
      <c r="H144" s="16">
        <f>IF(D144="","",F144-G144)</f>
      </c>
    </row>
    <row r="145" spans="1:8" x14ac:dyDescent="0.25">
      <c r="A145" s="13"/>
      <c r="B145" s="9"/>
      <c r="C145" s="13"/>
      <c r="D145" s="11"/>
      <c r="E145" s="10"/>
      <c r="F145" s="15">
        <f>IF(D145="","",D145*E145)</f>
      </c>
      <c r="G145" s="15">
        <f>IF(D145="","",D145*IFERROR(VLOOKUP(B145,'Controle de Estoque'!$A$3:$C$52,3,0),IFERROR(VLOOKUP(B145,Precificação!$A$3:$B$52,2,0),0)))</f>
      </c>
      <c r="H145" s="16">
        <f>IF(D145="","",F145-G145)</f>
      </c>
    </row>
    <row r="146" spans="1:8" x14ac:dyDescent="0.25">
      <c r="A146" s="13"/>
      <c r="B146" s="9"/>
      <c r="C146" s="13"/>
      <c r="D146" s="11"/>
      <c r="E146" s="10"/>
      <c r="F146" s="15">
        <f>IF(D146="","",D146*E146)</f>
      </c>
      <c r="G146" s="15">
        <f>IF(D146="","",D146*IFERROR(VLOOKUP(B146,'Controle de Estoque'!$A$3:$C$52,3,0),IFERROR(VLOOKUP(B146,Precificação!$A$3:$B$52,2,0),0)))</f>
      </c>
      <c r="H146" s="16">
        <f>IF(D146="","",F146-G146)</f>
      </c>
    </row>
    <row r="147" spans="1:8" x14ac:dyDescent="0.25">
      <c r="A147" s="13"/>
      <c r="B147" s="9"/>
      <c r="C147" s="13"/>
      <c r="D147" s="11"/>
      <c r="E147" s="10"/>
      <c r="F147" s="15">
        <f>IF(D147="","",D147*E147)</f>
      </c>
      <c r="G147" s="15">
        <f>IF(D147="","",D147*IFERROR(VLOOKUP(B147,'Controle de Estoque'!$A$3:$C$52,3,0),IFERROR(VLOOKUP(B147,Precificação!$A$3:$B$52,2,0),0)))</f>
      </c>
      <c r="H147" s="16">
        <f>IF(D147="","",F147-G147)</f>
      </c>
    </row>
    <row r="148" spans="1:8" x14ac:dyDescent="0.25">
      <c r="A148" s="13"/>
      <c r="B148" s="9"/>
      <c r="C148" s="13"/>
      <c r="D148" s="11"/>
      <c r="E148" s="10"/>
      <c r="F148" s="15">
        <f>IF(D148="","",D148*E148)</f>
      </c>
      <c r="G148" s="15">
        <f>IF(D148="","",D148*IFERROR(VLOOKUP(B148,'Controle de Estoque'!$A$3:$C$52,3,0),IFERROR(VLOOKUP(B148,Precificação!$A$3:$B$52,2,0),0)))</f>
      </c>
      <c r="H148" s="16">
        <f>IF(D148="","",F148-G148)</f>
      </c>
    </row>
    <row r="149" spans="1:8" x14ac:dyDescent="0.25">
      <c r="A149" s="13"/>
      <c r="B149" s="9"/>
      <c r="C149" s="13"/>
      <c r="D149" s="11"/>
      <c r="E149" s="10"/>
      <c r="F149" s="15">
        <f>IF(D149="","",D149*E149)</f>
      </c>
      <c r="G149" s="15">
        <f>IF(D149="","",D149*IFERROR(VLOOKUP(B149,'Controle de Estoque'!$A$3:$C$52,3,0),IFERROR(VLOOKUP(B149,Precificação!$A$3:$B$52,2,0),0)))</f>
      </c>
      <c r="H149" s="16">
        <f>IF(D149="","",F149-G149)</f>
      </c>
    </row>
    <row r="150" spans="1:8" x14ac:dyDescent="0.25">
      <c r="A150" s="13"/>
      <c r="B150" s="9"/>
      <c r="C150" s="13"/>
      <c r="D150" s="11"/>
      <c r="E150" s="10"/>
      <c r="F150" s="15">
        <f>IF(D150="","",D150*E150)</f>
      </c>
      <c r="G150" s="15">
        <f>IF(D150="","",D150*IFERROR(VLOOKUP(B150,'Controle de Estoque'!$A$3:$C$52,3,0),IFERROR(VLOOKUP(B150,Precificação!$A$3:$B$52,2,0),0)))</f>
      </c>
      <c r="H150" s="16">
        <f>IF(D150="","",F150-G150)</f>
      </c>
    </row>
    <row r="151" spans="1:8" x14ac:dyDescent="0.25">
      <c r="A151" s="13"/>
      <c r="B151" s="9"/>
      <c r="C151" s="13"/>
      <c r="D151" s="11"/>
      <c r="E151" s="10"/>
      <c r="F151" s="15">
        <f>IF(D151="","",D151*E151)</f>
      </c>
      <c r="G151" s="15">
        <f>IF(D151="","",D151*IFERROR(VLOOKUP(B151,'Controle de Estoque'!$A$3:$C$52,3,0),IFERROR(VLOOKUP(B151,Precificação!$A$3:$B$52,2,0),0)))</f>
      </c>
      <c r="H151" s="16">
        <f>IF(D151="","",F151-G151)</f>
      </c>
    </row>
    <row r="152" spans="1:8" x14ac:dyDescent="0.25">
      <c r="A152" s="13"/>
      <c r="B152" s="9"/>
      <c r="C152" s="13"/>
      <c r="D152" s="11"/>
      <c r="E152" s="10"/>
      <c r="F152" s="15">
        <f>IF(D152="","",D152*E152)</f>
      </c>
      <c r="G152" s="15">
        <f>IF(D152="","",D152*IFERROR(VLOOKUP(B152,'Controle de Estoque'!$A$3:$C$52,3,0),IFERROR(VLOOKUP(B152,Precificação!$A$3:$B$52,2,0),0)))</f>
      </c>
      <c r="H152" s="16">
        <f>IF(D152="","",F152-G152)</f>
      </c>
    </row>
    <row r="153" spans="1:8" x14ac:dyDescent="0.25">
      <c r="A153" s="13"/>
      <c r="B153" s="9"/>
      <c r="C153" s="13"/>
      <c r="D153" s="11"/>
      <c r="E153" s="10"/>
      <c r="F153" s="15">
        <f>IF(D153="","",D153*E153)</f>
      </c>
      <c r="G153" s="15">
        <f>IF(D153="","",D153*IFERROR(VLOOKUP(B153,'Controle de Estoque'!$A$3:$C$52,3,0),IFERROR(VLOOKUP(B153,Precificação!$A$3:$B$52,2,0),0)))</f>
      </c>
      <c r="H153" s="16">
        <f>IF(D153="","",F153-G153)</f>
      </c>
    </row>
    <row r="154" spans="1:8" x14ac:dyDescent="0.25">
      <c r="A154" s="13"/>
      <c r="B154" s="9"/>
      <c r="C154" s="13"/>
      <c r="D154" s="11"/>
      <c r="E154" s="10"/>
      <c r="F154" s="15">
        <f>IF(D154="","",D154*E154)</f>
      </c>
      <c r="G154" s="15">
        <f>IF(D154="","",D154*IFERROR(VLOOKUP(B154,'Controle de Estoque'!$A$3:$C$52,3,0),IFERROR(VLOOKUP(B154,Precificação!$A$3:$B$52,2,0),0)))</f>
      </c>
      <c r="H154" s="16">
        <f>IF(D154="","",F154-G154)</f>
      </c>
    </row>
    <row r="155" spans="1:8" x14ac:dyDescent="0.25">
      <c r="A155" s="13"/>
      <c r="B155" s="9"/>
      <c r="C155" s="13"/>
      <c r="D155" s="11"/>
      <c r="E155" s="10"/>
      <c r="F155" s="15">
        <f>IF(D155="","",D155*E155)</f>
      </c>
      <c r="G155" s="15">
        <f>IF(D155="","",D155*IFERROR(VLOOKUP(B155,'Controle de Estoque'!$A$3:$C$52,3,0),IFERROR(VLOOKUP(B155,Precificação!$A$3:$B$52,2,0),0)))</f>
      </c>
      <c r="H155" s="16">
        <f>IF(D155="","",F155-G155)</f>
      </c>
    </row>
    <row r="156" spans="1:8" x14ac:dyDescent="0.25">
      <c r="A156" s="13"/>
      <c r="B156" s="9"/>
      <c r="C156" s="13"/>
      <c r="D156" s="11"/>
      <c r="E156" s="10"/>
      <c r="F156" s="15">
        <f>IF(D156="","",D156*E156)</f>
      </c>
      <c r="G156" s="15">
        <f>IF(D156="","",D156*IFERROR(VLOOKUP(B156,'Controle de Estoque'!$A$3:$C$52,3,0),IFERROR(VLOOKUP(B156,Precificação!$A$3:$B$52,2,0),0)))</f>
      </c>
      <c r="H156" s="16">
        <f>IF(D156="","",F156-G156)</f>
      </c>
    </row>
    <row r="157" spans="1:8" x14ac:dyDescent="0.25">
      <c r="A157" s="13"/>
      <c r="B157" s="9"/>
      <c r="C157" s="13"/>
      <c r="D157" s="11"/>
      <c r="E157" s="10"/>
      <c r="F157" s="15">
        <f>IF(D157="","",D157*E157)</f>
      </c>
      <c r="G157" s="15">
        <f>IF(D157="","",D157*IFERROR(VLOOKUP(B157,'Controle de Estoque'!$A$3:$C$52,3,0),IFERROR(VLOOKUP(B157,Precificação!$A$3:$B$52,2,0),0)))</f>
      </c>
      <c r="H157" s="16">
        <f>IF(D157="","",F157-G157)</f>
      </c>
    </row>
    <row r="158" spans="1:8" x14ac:dyDescent="0.25">
      <c r="A158" s="13"/>
      <c r="B158" s="9"/>
      <c r="C158" s="13"/>
      <c r="D158" s="11"/>
      <c r="E158" s="10"/>
      <c r="F158" s="15">
        <f>IF(D158="","",D158*E158)</f>
      </c>
      <c r="G158" s="15">
        <f>IF(D158="","",D158*IFERROR(VLOOKUP(B158,'Controle de Estoque'!$A$3:$C$52,3,0),IFERROR(VLOOKUP(B158,Precificação!$A$3:$B$52,2,0),0)))</f>
      </c>
      <c r="H158" s="16">
        <f>IF(D158="","",F158-G158)</f>
      </c>
    </row>
    <row r="159" spans="1:8" x14ac:dyDescent="0.25">
      <c r="A159" s="13"/>
      <c r="B159" s="9"/>
      <c r="C159" s="13"/>
      <c r="D159" s="11"/>
      <c r="E159" s="10"/>
      <c r="F159" s="15">
        <f>IF(D159="","",D159*E159)</f>
      </c>
      <c r="G159" s="15">
        <f>IF(D159="","",D159*IFERROR(VLOOKUP(B159,'Controle de Estoque'!$A$3:$C$52,3,0),IFERROR(VLOOKUP(B159,Precificação!$A$3:$B$52,2,0),0)))</f>
      </c>
      <c r="H159" s="16">
        <f>IF(D159="","",F159-G159)</f>
      </c>
    </row>
    <row r="160" spans="1:8" x14ac:dyDescent="0.25">
      <c r="A160" s="13"/>
      <c r="B160" s="9"/>
      <c r="C160" s="13"/>
      <c r="D160" s="11"/>
      <c r="E160" s="10"/>
      <c r="F160" s="15">
        <f>IF(D160="","",D160*E160)</f>
      </c>
      <c r="G160" s="15">
        <f>IF(D160="","",D160*IFERROR(VLOOKUP(B160,'Controle de Estoque'!$A$3:$C$52,3,0),IFERROR(VLOOKUP(B160,Precificação!$A$3:$B$52,2,0),0)))</f>
      </c>
      <c r="H160" s="16">
        <f>IF(D160="","",F160-G160)</f>
      </c>
    </row>
    <row r="161" spans="1:8" x14ac:dyDescent="0.25">
      <c r="A161" s="13"/>
      <c r="B161" s="9"/>
      <c r="C161" s="13"/>
      <c r="D161" s="11"/>
      <c r="E161" s="10"/>
      <c r="F161" s="15">
        <f>IF(D161="","",D161*E161)</f>
      </c>
      <c r="G161" s="15">
        <f>IF(D161="","",D161*IFERROR(VLOOKUP(B161,'Controle de Estoque'!$A$3:$C$52,3,0),IFERROR(VLOOKUP(B161,Precificação!$A$3:$B$52,2,0),0)))</f>
      </c>
      <c r="H161" s="16">
        <f>IF(D161="","",F161-G161)</f>
      </c>
    </row>
    <row r="162" spans="1:8" x14ac:dyDescent="0.25">
      <c r="A162" s="13"/>
      <c r="B162" s="9"/>
      <c r="C162" s="13"/>
      <c r="D162" s="11"/>
      <c r="E162" s="10"/>
      <c r="F162" s="15">
        <f>IF(D162="","",D162*E162)</f>
      </c>
      <c r="G162" s="15">
        <f>IF(D162="","",D162*IFERROR(VLOOKUP(B162,'Controle de Estoque'!$A$3:$C$52,3,0),IFERROR(VLOOKUP(B162,Precificação!$A$3:$B$52,2,0),0)))</f>
      </c>
      <c r="H162" s="16">
        <f>IF(D162="","",F162-G162)</f>
      </c>
    </row>
    <row r="163" spans="1:8" x14ac:dyDescent="0.25">
      <c r="A163" s="13"/>
      <c r="B163" s="9"/>
      <c r="C163" s="13"/>
      <c r="D163" s="11"/>
      <c r="E163" s="10"/>
      <c r="F163" s="15">
        <f>IF(D163="","",D163*E163)</f>
      </c>
      <c r="G163" s="15">
        <f>IF(D163="","",D163*IFERROR(VLOOKUP(B163,'Controle de Estoque'!$A$3:$C$52,3,0),IFERROR(VLOOKUP(B163,Precificação!$A$3:$B$52,2,0),0)))</f>
      </c>
      <c r="H163" s="16">
        <f>IF(D163="","",F163-G163)</f>
      </c>
    </row>
    <row r="164" spans="1:8" x14ac:dyDescent="0.25">
      <c r="A164" s="13"/>
      <c r="B164" s="9"/>
      <c r="C164" s="13"/>
      <c r="D164" s="11"/>
      <c r="E164" s="10"/>
      <c r="F164" s="15">
        <f>IF(D164="","",D164*E164)</f>
      </c>
      <c r="G164" s="15">
        <f>IF(D164="","",D164*IFERROR(VLOOKUP(B164,'Controle de Estoque'!$A$3:$C$52,3,0),IFERROR(VLOOKUP(B164,Precificação!$A$3:$B$52,2,0),0)))</f>
      </c>
      <c r="H164" s="16">
        <f>IF(D164="","",F164-G164)</f>
      </c>
    </row>
    <row r="165" spans="1:8" x14ac:dyDescent="0.25">
      <c r="A165" s="13"/>
      <c r="B165" s="9"/>
      <c r="C165" s="13"/>
      <c r="D165" s="11"/>
      <c r="E165" s="10"/>
      <c r="F165" s="15">
        <f>IF(D165="","",D165*E165)</f>
      </c>
      <c r="G165" s="15">
        <f>IF(D165="","",D165*IFERROR(VLOOKUP(B165,'Controle de Estoque'!$A$3:$C$52,3,0),IFERROR(VLOOKUP(B165,Precificação!$A$3:$B$52,2,0),0)))</f>
      </c>
      <c r="H165" s="16">
        <f>IF(D165="","",F165-G165)</f>
      </c>
    </row>
    <row r="166" spans="1:8" x14ac:dyDescent="0.25">
      <c r="A166" s="13"/>
      <c r="B166" s="9"/>
      <c r="C166" s="13"/>
      <c r="D166" s="11"/>
      <c r="E166" s="10"/>
      <c r="F166" s="15">
        <f>IF(D166="","",D166*E166)</f>
      </c>
      <c r="G166" s="15">
        <f>IF(D166="","",D166*IFERROR(VLOOKUP(B166,'Controle de Estoque'!$A$3:$C$52,3,0),IFERROR(VLOOKUP(B166,Precificação!$A$3:$B$52,2,0),0)))</f>
      </c>
      <c r="H166" s="16">
        <f>IF(D166="","",F166-G166)</f>
      </c>
    </row>
    <row r="167" spans="1:8" x14ac:dyDescent="0.25">
      <c r="A167" s="13"/>
      <c r="B167" s="9"/>
      <c r="C167" s="13"/>
      <c r="D167" s="11"/>
      <c r="E167" s="10"/>
      <c r="F167" s="15">
        <f>IF(D167="","",D167*E167)</f>
      </c>
      <c r="G167" s="15">
        <f>IF(D167="","",D167*IFERROR(VLOOKUP(B167,'Controle de Estoque'!$A$3:$C$52,3,0),IFERROR(VLOOKUP(B167,Precificação!$A$3:$B$52,2,0),0)))</f>
      </c>
      <c r="H167" s="16">
        <f>IF(D167="","",F167-G167)</f>
      </c>
    </row>
    <row r="168" spans="1:8" x14ac:dyDescent="0.25">
      <c r="A168" s="13"/>
      <c r="B168" s="9"/>
      <c r="C168" s="13"/>
      <c r="D168" s="11"/>
      <c r="E168" s="10"/>
      <c r="F168" s="15">
        <f>IF(D168="","",D168*E168)</f>
      </c>
      <c r="G168" s="15">
        <f>IF(D168="","",D168*IFERROR(VLOOKUP(B168,'Controle de Estoque'!$A$3:$C$52,3,0),IFERROR(VLOOKUP(B168,Precificação!$A$3:$B$52,2,0),0)))</f>
      </c>
      <c r="H168" s="16">
        <f>IF(D168="","",F168-G168)</f>
      </c>
    </row>
    <row r="169" spans="1:8" x14ac:dyDescent="0.25">
      <c r="A169" s="13"/>
      <c r="B169" s="9"/>
      <c r="C169" s="13"/>
      <c r="D169" s="11"/>
      <c r="E169" s="10"/>
      <c r="F169" s="15">
        <f>IF(D169="","",D169*E169)</f>
      </c>
      <c r="G169" s="15">
        <f>IF(D169="","",D169*IFERROR(VLOOKUP(B169,'Controle de Estoque'!$A$3:$C$52,3,0),IFERROR(VLOOKUP(B169,Precificação!$A$3:$B$52,2,0),0)))</f>
      </c>
      <c r="H169" s="16">
        <f>IF(D169="","",F169-G169)</f>
      </c>
    </row>
    <row r="170" spans="1:8" x14ac:dyDescent="0.25">
      <c r="A170" s="13"/>
      <c r="B170" s="9"/>
      <c r="C170" s="13"/>
      <c r="D170" s="11"/>
      <c r="E170" s="10"/>
      <c r="F170" s="15">
        <f>IF(D170="","",D170*E170)</f>
      </c>
      <c r="G170" s="15">
        <f>IF(D170="","",D170*IFERROR(VLOOKUP(B170,'Controle de Estoque'!$A$3:$C$52,3,0),IFERROR(VLOOKUP(B170,Precificação!$A$3:$B$52,2,0),0)))</f>
      </c>
      <c r="H170" s="16">
        <f>IF(D170="","",F170-G170)</f>
      </c>
    </row>
    <row r="171" spans="1:8" x14ac:dyDescent="0.25">
      <c r="A171" s="13"/>
      <c r="B171" s="9"/>
      <c r="C171" s="13"/>
      <c r="D171" s="11"/>
      <c r="E171" s="10"/>
      <c r="F171" s="15">
        <f>IF(D171="","",D171*E171)</f>
      </c>
      <c r="G171" s="15">
        <f>IF(D171="","",D171*IFERROR(VLOOKUP(B171,'Controle de Estoque'!$A$3:$C$52,3,0),IFERROR(VLOOKUP(B171,Precificação!$A$3:$B$52,2,0),0)))</f>
      </c>
      <c r="H171" s="16">
        <f>IF(D171="","",F171-G171)</f>
      </c>
    </row>
    <row r="172" spans="1:8" x14ac:dyDescent="0.25">
      <c r="A172" s="13"/>
      <c r="B172" s="9"/>
      <c r="C172" s="13"/>
      <c r="D172" s="11"/>
      <c r="E172" s="10"/>
      <c r="F172" s="15">
        <f>IF(D172="","",D172*E172)</f>
      </c>
      <c r="G172" s="15">
        <f>IF(D172="","",D172*IFERROR(VLOOKUP(B172,'Controle de Estoque'!$A$3:$C$52,3,0),IFERROR(VLOOKUP(B172,Precificação!$A$3:$B$52,2,0),0)))</f>
      </c>
      <c r="H172" s="16">
        <f>IF(D172="","",F172-G172)</f>
      </c>
    </row>
    <row r="173" spans="1:8" x14ac:dyDescent="0.25">
      <c r="A173" s="13"/>
      <c r="B173" s="9"/>
      <c r="C173" s="13"/>
      <c r="D173" s="11"/>
      <c r="E173" s="10"/>
      <c r="F173" s="15">
        <f>IF(D173="","",D173*E173)</f>
      </c>
      <c r="G173" s="15">
        <f>IF(D173="","",D173*IFERROR(VLOOKUP(B173,'Controle de Estoque'!$A$3:$C$52,3,0),IFERROR(VLOOKUP(B173,Precificação!$A$3:$B$52,2,0),0)))</f>
      </c>
      <c r="H173" s="16">
        <f>IF(D173="","",F173-G173)</f>
      </c>
    </row>
    <row r="174" spans="1:8" x14ac:dyDescent="0.25">
      <c r="A174" s="13"/>
      <c r="B174" s="9"/>
      <c r="C174" s="13"/>
      <c r="D174" s="11"/>
      <c r="E174" s="10"/>
      <c r="F174" s="15">
        <f>IF(D174="","",D174*E174)</f>
      </c>
      <c r="G174" s="15">
        <f>IF(D174="","",D174*IFERROR(VLOOKUP(B174,'Controle de Estoque'!$A$3:$C$52,3,0),IFERROR(VLOOKUP(B174,Precificação!$A$3:$B$52,2,0),0)))</f>
      </c>
      <c r="H174" s="16">
        <f>IF(D174="","",F174-G174)</f>
      </c>
    </row>
    <row r="175" spans="1:8" x14ac:dyDescent="0.25">
      <c r="A175" s="13"/>
      <c r="B175" s="9"/>
      <c r="C175" s="13"/>
      <c r="D175" s="11"/>
      <c r="E175" s="10"/>
      <c r="F175" s="15">
        <f>IF(D175="","",D175*E175)</f>
      </c>
      <c r="G175" s="15">
        <f>IF(D175="","",D175*IFERROR(VLOOKUP(B175,'Controle de Estoque'!$A$3:$C$52,3,0),IFERROR(VLOOKUP(B175,Precificação!$A$3:$B$52,2,0),0)))</f>
      </c>
      <c r="H175" s="16">
        <f>IF(D175="","",F175-G175)</f>
      </c>
    </row>
    <row r="176" spans="1:8" x14ac:dyDescent="0.25">
      <c r="A176" s="13"/>
      <c r="B176" s="9"/>
      <c r="C176" s="13"/>
      <c r="D176" s="11"/>
      <c r="E176" s="10"/>
      <c r="F176" s="15">
        <f>IF(D176="","",D176*E176)</f>
      </c>
      <c r="G176" s="15">
        <f>IF(D176="","",D176*IFERROR(VLOOKUP(B176,'Controle de Estoque'!$A$3:$C$52,3,0),IFERROR(VLOOKUP(B176,Precificação!$A$3:$B$52,2,0),0)))</f>
      </c>
      <c r="H176" s="16">
        <f>IF(D176="","",F176-G176)</f>
      </c>
    </row>
    <row r="177" spans="1:8" x14ac:dyDescent="0.25">
      <c r="A177" s="13"/>
      <c r="B177" s="9"/>
      <c r="C177" s="13"/>
      <c r="D177" s="11"/>
      <c r="E177" s="10"/>
      <c r="F177" s="15">
        <f>IF(D177="","",D177*E177)</f>
      </c>
      <c r="G177" s="15">
        <f>IF(D177="","",D177*IFERROR(VLOOKUP(B177,'Controle de Estoque'!$A$3:$C$52,3,0),IFERROR(VLOOKUP(B177,Precificação!$A$3:$B$52,2,0),0)))</f>
      </c>
      <c r="H177" s="16">
        <f>IF(D177="","",F177-G177)</f>
      </c>
    </row>
    <row r="178" spans="1:8" x14ac:dyDescent="0.25">
      <c r="A178" s="13"/>
      <c r="B178" s="9"/>
      <c r="C178" s="13"/>
      <c r="D178" s="11"/>
      <c r="E178" s="10"/>
      <c r="F178" s="15">
        <f>IF(D178="","",D178*E178)</f>
      </c>
      <c r="G178" s="15">
        <f>IF(D178="","",D178*IFERROR(VLOOKUP(B178,'Controle de Estoque'!$A$3:$C$52,3,0),IFERROR(VLOOKUP(B178,Precificação!$A$3:$B$52,2,0),0)))</f>
      </c>
      <c r="H178" s="16">
        <f>IF(D178="","",F178-G178)</f>
      </c>
    </row>
    <row r="179" spans="1:8" x14ac:dyDescent="0.25">
      <c r="A179" s="13"/>
      <c r="B179" s="9"/>
      <c r="C179" s="13"/>
      <c r="D179" s="11"/>
      <c r="E179" s="10"/>
      <c r="F179" s="15">
        <f>IF(D179="","",D179*E179)</f>
      </c>
      <c r="G179" s="15">
        <f>IF(D179="","",D179*IFERROR(VLOOKUP(B179,'Controle de Estoque'!$A$3:$C$52,3,0),IFERROR(VLOOKUP(B179,Precificação!$A$3:$B$52,2,0),0)))</f>
      </c>
      <c r="H179" s="16">
        <f>IF(D179="","",F179-G179)</f>
      </c>
    </row>
    <row r="180" spans="1:8" x14ac:dyDescent="0.25">
      <c r="A180" s="13"/>
      <c r="B180" s="9"/>
      <c r="C180" s="13"/>
      <c r="D180" s="11"/>
      <c r="E180" s="10"/>
      <c r="F180" s="15">
        <f>IF(D180="","",D180*E180)</f>
      </c>
      <c r="G180" s="15">
        <f>IF(D180="","",D180*IFERROR(VLOOKUP(B180,'Controle de Estoque'!$A$3:$C$52,3,0),IFERROR(VLOOKUP(B180,Precificação!$A$3:$B$52,2,0),0)))</f>
      </c>
      <c r="H180" s="16">
        <f>IF(D180="","",F180-G180)</f>
      </c>
    </row>
    <row r="181" spans="1:8" x14ac:dyDescent="0.25">
      <c r="A181" s="13"/>
      <c r="B181" s="9"/>
      <c r="C181" s="13"/>
      <c r="D181" s="11"/>
      <c r="E181" s="10"/>
      <c r="F181" s="15">
        <f>IF(D181="","",D181*E181)</f>
      </c>
      <c r="G181" s="15">
        <f>IF(D181="","",D181*IFERROR(VLOOKUP(B181,'Controle de Estoque'!$A$3:$C$52,3,0),IFERROR(VLOOKUP(B181,Precificação!$A$3:$B$52,2,0),0)))</f>
      </c>
      <c r="H181" s="16">
        <f>IF(D181="","",F181-G181)</f>
      </c>
    </row>
    <row r="182" spans="1:8" x14ac:dyDescent="0.25">
      <c r="A182" s="13"/>
      <c r="B182" s="9"/>
      <c r="C182" s="13"/>
      <c r="D182" s="11"/>
      <c r="E182" s="10"/>
      <c r="F182" s="15">
        <f>IF(D182="","",D182*E182)</f>
      </c>
      <c r="G182" s="15">
        <f>IF(D182="","",D182*IFERROR(VLOOKUP(B182,'Controle de Estoque'!$A$3:$C$52,3,0),IFERROR(VLOOKUP(B182,Precificação!$A$3:$B$52,2,0),0)))</f>
      </c>
      <c r="H182" s="16">
        <f>IF(D182="","",F182-G182)</f>
      </c>
    </row>
    <row r="183" spans="1:8" x14ac:dyDescent="0.25">
      <c r="A183" s="13"/>
      <c r="B183" s="9"/>
      <c r="C183" s="13"/>
      <c r="D183" s="11"/>
      <c r="E183" s="10"/>
      <c r="F183" s="15">
        <f>IF(D183="","",D183*E183)</f>
      </c>
      <c r="G183" s="15">
        <f>IF(D183="","",D183*IFERROR(VLOOKUP(B183,'Controle de Estoque'!$A$3:$C$52,3,0),IFERROR(VLOOKUP(B183,Precificação!$A$3:$B$52,2,0),0)))</f>
      </c>
      <c r="H183" s="16">
        <f>IF(D183="","",F183-G183)</f>
      </c>
    </row>
    <row r="184" spans="1:8" x14ac:dyDescent="0.25">
      <c r="A184" s="13"/>
      <c r="B184" s="9"/>
      <c r="C184" s="13"/>
      <c r="D184" s="11"/>
      <c r="E184" s="10"/>
      <c r="F184" s="15">
        <f>IF(D184="","",D184*E184)</f>
      </c>
      <c r="G184" s="15">
        <f>IF(D184="","",D184*IFERROR(VLOOKUP(B184,'Controle de Estoque'!$A$3:$C$52,3,0),IFERROR(VLOOKUP(B184,Precificação!$A$3:$B$52,2,0),0)))</f>
      </c>
      <c r="H184" s="16">
        <f>IF(D184="","",F184-G184)</f>
      </c>
    </row>
    <row r="185" spans="1:8" x14ac:dyDescent="0.25">
      <c r="A185" s="13"/>
      <c r="B185" s="9"/>
      <c r="C185" s="13"/>
      <c r="D185" s="11"/>
      <c r="E185" s="10"/>
      <c r="F185" s="15">
        <f>IF(D185="","",D185*E185)</f>
      </c>
      <c r="G185" s="15">
        <f>IF(D185="","",D185*IFERROR(VLOOKUP(B185,'Controle de Estoque'!$A$3:$C$52,3,0),IFERROR(VLOOKUP(B185,Precificação!$A$3:$B$52,2,0),0)))</f>
      </c>
      <c r="H185" s="16">
        <f>IF(D185="","",F185-G185)</f>
      </c>
    </row>
    <row r="186" spans="1:8" x14ac:dyDescent="0.25">
      <c r="A186" s="13"/>
      <c r="B186" s="9"/>
      <c r="C186" s="13"/>
      <c r="D186" s="11"/>
      <c r="E186" s="10"/>
      <c r="F186" s="15">
        <f>IF(D186="","",D186*E186)</f>
      </c>
      <c r="G186" s="15">
        <f>IF(D186="","",D186*IFERROR(VLOOKUP(B186,'Controle de Estoque'!$A$3:$C$52,3,0),IFERROR(VLOOKUP(B186,Precificação!$A$3:$B$52,2,0),0)))</f>
      </c>
      <c r="H186" s="16">
        <f>IF(D186="","",F186-G186)</f>
      </c>
    </row>
    <row r="187" spans="1:8" x14ac:dyDescent="0.25">
      <c r="A187" s="13"/>
      <c r="B187" s="9"/>
      <c r="C187" s="13"/>
      <c r="D187" s="11"/>
      <c r="E187" s="10"/>
      <c r="F187" s="15">
        <f>IF(D187="","",D187*E187)</f>
      </c>
      <c r="G187" s="15">
        <f>IF(D187="","",D187*IFERROR(VLOOKUP(B187,'Controle de Estoque'!$A$3:$C$52,3,0),IFERROR(VLOOKUP(B187,Precificação!$A$3:$B$52,2,0),0)))</f>
      </c>
      <c r="H187" s="16">
        <f>IF(D187="","",F187-G187)</f>
      </c>
    </row>
    <row r="188" spans="1:8" x14ac:dyDescent="0.25">
      <c r="A188" s="13"/>
      <c r="B188" s="9"/>
      <c r="C188" s="13"/>
      <c r="D188" s="11"/>
      <c r="E188" s="10"/>
      <c r="F188" s="15">
        <f>IF(D188="","",D188*E188)</f>
      </c>
      <c r="G188" s="15">
        <f>IF(D188="","",D188*IFERROR(VLOOKUP(B188,'Controle de Estoque'!$A$3:$C$52,3,0),IFERROR(VLOOKUP(B188,Precificação!$A$3:$B$52,2,0),0)))</f>
      </c>
      <c r="H188" s="16">
        <f>IF(D188="","",F188-G188)</f>
      </c>
    </row>
    <row r="189" spans="1:8" x14ac:dyDescent="0.25">
      <c r="A189" s="13"/>
      <c r="B189" s="9"/>
      <c r="C189" s="13"/>
      <c r="D189" s="11"/>
      <c r="E189" s="10"/>
      <c r="F189" s="15">
        <f>IF(D189="","",D189*E189)</f>
      </c>
      <c r="G189" s="15">
        <f>IF(D189="","",D189*IFERROR(VLOOKUP(B189,'Controle de Estoque'!$A$3:$C$52,3,0),IFERROR(VLOOKUP(B189,Precificação!$A$3:$B$52,2,0),0)))</f>
      </c>
      <c r="H189" s="16">
        <f>IF(D189="","",F189-G189)</f>
      </c>
    </row>
    <row r="190" spans="1:8" x14ac:dyDescent="0.25">
      <c r="A190" s="13"/>
      <c r="B190" s="9"/>
      <c r="C190" s="13"/>
      <c r="D190" s="11"/>
      <c r="E190" s="10"/>
      <c r="F190" s="15">
        <f>IF(D190="","",D190*E190)</f>
      </c>
      <c r="G190" s="15">
        <f>IF(D190="","",D190*IFERROR(VLOOKUP(B190,'Controle de Estoque'!$A$3:$C$52,3,0),IFERROR(VLOOKUP(B190,Precificação!$A$3:$B$52,2,0),0)))</f>
      </c>
      <c r="H190" s="16">
        <f>IF(D190="","",F190-G190)</f>
      </c>
    </row>
    <row r="191" spans="1:8" x14ac:dyDescent="0.25">
      <c r="A191" s="13"/>
      <c r="B191" s="9"/>
      <c r="C191" s="13"/>
      <c r="D191" s="11"/>
      <c r="E191" s="10"/>
      <c r="F191" s="15">
        <f>IF(D191="","",D191*E191)</f>
      </c>
      <c r="G191" s="15">
        <f>IF(D191="","",D191*IFERROR(VLOOKUP(B191,'Controle de Estoque'!$A$3:$C$52,3,0),IFERROR(VLOOKUP(B191,Precificação!$A$3:$B$52,2,0),0)))</f>
      </c>
      <c r="H191" s="16">
        <f>IF(D191="","",F191-G191)</f>
      </c>
    </row>
    <row r="192" spans="1:8" x14ac:dyDescent="0.25">
      <c r="A192" s="13"/>
      <c r="B192" s="9"/>
      <c r="C192" s="13"/>
      <c r="D192" s="11"/>
      <c r="E192" s="10"/>
      <c r="F192" s="15">
        <f>IF(D192="","",D192*E192)</f>
      </c>
      <c r="G192" s="15">
        <f>IF(D192="","",D192*IFERROR(VLOOKUP(B192,'Controle de Estoque'!$A$3:$C$52,3,0),IFERROR(VLOOKUP(B192,Precificação!$A$3:$B$52,2,0),0)))</f>
      </c>
      <c r="H192" s="16">
        <f>IF(D192="","",F192-G192)</f>
      </c>
    </row>
    <row r="193" spans="1:8" x14ac:dyDescent="0.25">
      <c r="A193" s="13"/>
      <c r="B193" s="9"/>
      <c r="C193" s="13"/>
      <c r="D193" s="11"/>
      <c r="E193" s="10"/>
      <c r="F193" s="15">
        <f>IF(D193="","",D193*E193)</f>
      </c>
      <c r="G193" s="15">
        <f>IF(D193="","",D193*IFERROR(VLOOKUP(B193,'Controle de Estoque'!$A$3:$C$52,3,0),IFERROR(VLOOKUP(B193,Precificação!$A$3:$B$52,2,0),0)))</f>
      </c>
      <c r="H193" s="16">
        <f>IF(D193="","",F193-G193)</f>
      </c>
    </row>
    <row r="194" spans="1:8" x14ac:dyDescent="0.25">
      <c r="A194" s="13"/>
      <c r="B194" s="9"/>
      <c r="C194" s="13"/>
      <c r="D194" s="11"/>
      <c r="E194" s="10"/>
      <c r="F194" s="15">
        <f>IF(D194="","",D194*E194)</f>
      </c>
      <c r="G194" s="15">
        <f>IF(D194="","",D194*IFERROR(VLOOKUP(B194,'Controle de Estoque'!$A$3:$C$52,3,0),IFERROR(VLOOKUP(B194,Precificação!$A$3:$B$52,2,0),0)))</f>
      </c>
      <c r="H194" s="16">
        <f>IF(D194="","",F194-G194)</f>
      </c>
    </row>
    <row r="195" spans="1:8" x14ac:dyDescent="0.25">
      <c r="A195" s="13"/>
      <c r="B195" s="9"/>
      <c r="C195" s="13"/>
      <c r="D195" s="11"/>
      <c r="E195" s="10"/>
      <c r="F195" s="15">
        <f>IF(D195="","",D195*E195)</f>
      </c>
      <c r="G195" s="15">
        <f>IF(D195="","",D195*IFERROR(VLOOKUP(B195,'Controle de Estoque'!$A$3:$C$52,3,0),IFERROR(VLOOKUP(B195,Precificação!$A$3:$B$52,2,0),0)))</f>
      </c>
      <c r="H195" s="16">
        <f>IF(D195="","",F195-G195)</f>
      </c>
    </row>
    <row r="196" spans="1:8" x14ac:dyDescent="0.25">
      <c r="A196" s="13"/>
      <c r="B196" s="9"/>
      <c r="C196" s="13"/>
      <c r="D196" s="11"/>
      <c r="E196" s="10"/>
      <c r="F196" s="15">
        <f>IF(D196="","",D196*E196)</f>
      </c>
      <c r="G196" s="15">
        <f>IF(D196="","",D196*IFERROR(VLOOKUP(B196,'Controle de Estoque'!$A$3:$C$52,3,0),IFERROR(VLOOKUP(B196,Precificação!$A$3:$B$52,2,0),0)))</f>
      </c>
      <c r="H196" s="16">
        <f>IF(D196="","",F196-G196)</f>
      </c>
    </row>
    <row r="197" spans="1:8" x14ac:dyDescent="0.25">
      <c r="A197" s="13"/>
      <c r="B197" s="9"/>
      <c r="C197" s="13"/>
      <c r="D197" s="11"/>
      <c r="E197" s="10"/>
      <c r="F197" s="15">
        <f>IF(D197="","",D197*E197)</f>
      </c>
      <c r="G197" s="15">
        <f>IF(D197="","",D197*IFERROR(VLOOKUP(B197,'Controle de Estoque'!$A$3:$C$52,3,0),IFERROR(VLOOKUP(B197,Precificação!$A$3:$B$52,2,0),0)))</f>
      </c>
      <c r="H197" s="16">
        <f>IF(D197="","",F197-G197)</f>
      </c>
    </row>
    <row r="198" spans="1:8" x14ac:dyDescent="0.25">
      <c r="A198" s="13"/>
      <c r="B198" s="9"/>
      <c r="C198" s="13"/>
      <c r="D198" s="11"/>
      <c r="E198" s="10"/>
      <c r="F198" s="15">
        <f>IF(D198="","",D198*E198)</f>
      </c>
      <c r="G198" s="15">
        <f>IF(D198="","",D198*IFERROR(VLOOKUP(B198,'Controle de Estoque'!$A$3:$C$52,3,0),IFERROR(VLOOKUP(B198,Precificação!$A$3:$B$52,2,0),0)))</f>
      </c>
      <c r="H198" s="16">
        <f>IF(D198="","",F198-G198)</f>
      </c>
    </row>
    <row r="199" spans="1:8" x14ac:dyDescent="0.25">
      <c r="A199" s="13"/>
      <c r="B199" s="9"/>
      <c r="C199" s="13"/>
      <c r="D199" s="11"/>
      <c r="E199" s="10"/>
      <c r="F199" s="15">
        <f>IF(D199="","",D199*E199)</f>
      </c>
      <c r="G199" s="15">
        <f>IF(D199="","",D199*IFERROR(VLOOKUP(B199,'Controle de Estoque'!$A$3:$C$52,3,0),IFERROR(VLOOKUP(B199,Precificação!$A$3:$B$52,2,0),0)))</f>
      </c>
      <c r="H199" s="16">
        <f>IF(D199="","",F199-G199)</f>
      </c>
    </row>
    <row r="200" spans="1:8" x14ac:dyDescent="0.25">
      <c r="A200" s="13"/>
      <c r="B200" s="9"/>
      <c r="C200" s="13"/>
      <c r="D200" s="11"/>
      <c r="E200" s="10"/>
      <c r="F200" s="15">
        <f>IF(D200="","",D200*E200)</f>
      </c>
      <c r="G200" s="15">
        <f>IF(D200="","",D200*IFERROR(VLOOKUP(B200,'Controle de Estoque'!$A$3:$C$52,3,0),IFERROR(VLOOKUP(B200,Precificação!$A$3:$B$52,2,0),0)))</f>
      </c>
      <c r="H200" s="16">
        <f>IF(D200="","",F200-G200)</f>
      </c>
    </row>
    <row r="201" spans="1:8" x14ac:dyDescent="0.25">
      <c r="A201" s="13"/>
      <c r="B201" s="9"/>
      <c r="C201" s="13"/>
      <c r="D201" s="11"/>
      <c r="E201" s="10"/>
      <c r="F201" s="15">
        <f>IF(D201="","",D201*E201)</f>
      </c>
      <c r="G201" s="15">
        <f>IF(D201="","",D201*IFERROR(VLOOKUP(B201,'Controle de Estoque'!$A$3:$C$52,3,0),IFERROR(VLOOKUP(B201,Precificação!$A$3:$B$52,2,0),0)))</f>
      </c>
      <c r="H201" s="16">
        <f>IF(D201="","",F201-G201)</f>
      </c>
    </row>
    <row r="202" spans="1:8" x14ac:dyDescent="0.25">
      <c r="A202" s="13"/>
      <c r="B202" s="9"/>
      <c r="C202" s="13"/>
      <c r="D202" s="11"/>
      <c r="E202" s="10"/>
      <c r="F202" s="15">
        <f>IF(D202="","",D202*E202)</f>
      </c>
      <c r="G202" s="15">
        <f>IF(D202="","",D202*IFERROR(VLOOKUP(B202,'Controle de Estoque'!$A$3:$C$52,3,0),IFERROR(VLOOKUP(B202,Precificação!$A$3:$B$52,2,0),0)))</f>
      </c>
      <c r="H202" s="16">
        <f>IF(D202="","",F202-G202)</f>
      </c>
    </row>
    <row r="203" spans="1:8" x14ac:dyDescent="0.25">
      <c r="A203" s="19"/>
      <c r="B203" s="20" t="s">
        <v>51</v>
      </c>
      <c r="C203" s="19"/>
      <c r="D203" s="19"/>
      <c r="E203" s="19"/>
      <c r="F203" s="21">
        <f>SUM(F3:F202)</f>
      </c>
      <c r="G203" s="21">
        <f>SUM(G3:G202)</f>
      </c>
      <c r="H203" s="21">
        <f>SUM(H3:H202)</f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61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30" customWidth="1"/>
    <col min="3" max="3" width="22" customWidth="1"/>
    <col min="5" max="5" width="22" customWidth="1"/>
    <col min="6" max="6" width="16" customWidth="1"/>
  </cols>
  <sheetData>
    <row r="2" spans="2:2" x14ac:dyDescent="0.25">
      <c r="B2" s="22" t="s">
        <v>52</v>
      </c>
    </row>
    <row r="3" spans="2:2" x14ac:dyDescent="0.25">
      <c r="B3" s="18" t="s">
        <v>53</v>
      </c>
    </row>
    <row r="5" ht="28" customHeight="1" spans="2:6" x14ac:dyDescent="0.25">
      <c r="B5" s="23" t="s">
        <v>54</v>
      </c>
      <c r="C5" s="24">
        <f>SUM('Controle de Vendas'!F3:F202)</f>
      </c>
      <c r="E5" s="25" t="s">
        <v>55</v>
      </c>
      <c r="F5" s="25"/>
    </row>
    <row r="6" ht="28" customHeight="1" spans="2:6" x14ac:dyDescent="0.25">
      <c r="B6" s="23" t="s">
        <v>56</v>
      </c>
      <c r="C6" s="26">
        <f>SUM('Controle de Vendas'!G3:G202)</f>
      </c>
      <c r="E6" s="27" t="s">
        <v>46</v>
      </c>
      <c r="F6" s="28">
        <f>SUMIF('Controle de Vendas'!$C$3:$C$202,E6,'Controle de Vendas'!$F$3:$F$202)</f>
      </c>
    </row>
    <row r="7" ht="28" customHeight="1" spans="2:6" x14ac:dyDescent="0.25">
      <c r="B7" s="23" t="s">
        <v>57</v>
      </c>
      <c r="C7" s="24">
        <f>SUM('Controle de Vendas'!H3:H202)</f>
      </c>
      <c r="E7" s="27" t="s">
        <v>58</v>
      </c>
      <c r="F7" s="28">
        <f>SUMIF('Controle de Vendas'!$C$3:$C$202,E7,'Controle de Vendas'!$F$3:$F$202)</f>
      </c>
    </row>
    <row r="8" ht="28" customHeight="1" spans="2:6" x14ac:dyDescent="0.25">
      <c r="B8" s="23" t="s">
        <v>59</v>
      </c>
      <c r="C8" s="29">
        <f>IFERROR(IF(MAX(F12:F61)=0,"—",INDEX(E12:E61,MATCH(MAX(F12:F61),F12:F61,0))),"—")</f>
      </c>
      <c r="E8" s="27" t="s">
        <v>50</v>
      </c>
      <c r="F8" s="28">
        <f>SUMIF('Controle de Vendas'!$C$3:$C$202,E8,'Controle de Vendas'!$F$3:$F$202)</f>
      </c>
    </row>
    <row r="9" ht="28" customHeight="1" spans="2:6" x14ac:dyDescent="0.25">
      <c r="B9" s="23" t="s">
        <v>60</v>
      </c>
      <c r="C9" s="29">
        <f>IFERROR(IF(MAX(F6:F9)=0,"—",INDEX(E6:E9,MATCH(MAX(F6:F9),F6:F9,0))),"—")</f>
      </c>
      <c r="E9" s="27" t="s">
        <v>48</v>
      </c>
      <c r="F9" s="28">
        <f>SUMIF('Controle de Vendas'!$C$3:$C$202,E9,'Controle de Vendas'!$F$3:$F$202)</f>
      </c>
    </row>
    <row r="11" spans="2:6" x14ac:dyDescent="0.25">
      <c r="B11" s="30" t="s">
        <v>61</v>
      </c>
      <c r="E11" s="25" t="s">
        <v>62</v>
      </c>
      <c r="F11" s="25"/>
    </row>
    <row r="12" spans="5:6" x14ac:dyDescent="0.25">
      <c r="E12" s="31">
        <f>IF(Precificação!A3="","",Precificação!A3)</f>
      </c>
      <c r="F12" s="31">
        <f>IF(Precificação!A3="","",SUMIF('Controle de Vendas'!$B$3:$B$202,Precificação!A3,'Controle de Vendas'!$D$3:$D$202))</f>
      </c>
    </row>
    <row r="13" spans="5:6" x14ac:dyDescent="0.25">
      <c r="E13" s="31">
        <f>IF(Precificação!A4="","",Precificação!A4)</f>
      </c>
      <c r="F13" s="31">
        <f>IF(Precificação!A4="","",SUMIF('Controle de Vendas'!$B$3:$B$202,Precificação!A4,'Controle de Vendas'!$D$3:$D$202))</f>
      </c>
    </row>
    <row r="14" spans="5:6" x14ac:dyDescent="0.25">
      <c r="E14" s="31">
        <f>IF(Precificação!A5="","",Precificação!A5)</f>
      </c>
      <c r="F14" s="31">
        <f>IF(Precificação!A5="","",SUMIF('Controle de Vendas'!$B$3:$B$202,Precificação!A5,'Controle de Vendas'!$D$3:$D$202))</f>
      </c>
    </row>
    <row r="15" spans="5:6" x14ac:dyDescent="0.25">
      <c r="E15" s="31">
        <f>IF(Precificação!A6="","",Precificação!A6)</f>
      </c>
      <c r="F15" s="31">
        <f>IF(Precificação!A6="","",SUMIF('Controle de Vendas'!$B$3:$B$202,Precificação!A6,'Controle de Vendas'!$D$3:$D$202))</f>
      </c>
    </row>
    <row r="16" spans="5:6" x14ac:dyDescent="0.25">
      <c r="E16" s="31">
        <f>IF(Precificação!A7="","",Precificação!A7)</f>
      </c>
      <c r="F16" s="31">
        <f>IF(Precificação!A7="","",SUMIF('Controle de Vendas'!$B$3:$B$202,Precificação!A7,'Controle de Vendas'!$D$3:$D$202))</f>
      </c>
    </row>
    <row r="17" spans="5:6" x14ac:dyDescent="0.25">
      <c r="E17" s="31">
        <f>IF(Precificação!A8="","",Precificação!A8)</f>
      </c>
      <c r="F17" s="31">
        <f>IF(Precificação!A8="","",SUMIF('Controle de Vendas'!$B$3:$B$202,Precificação!A8,'Controle de Vendas'!$D$3:$D$202))</f>
      </c>
    </row>
    <row r="18" spans="5:6" x14ac:dyDescent="0.25">
      <c r="E18" s="31">
        <f>IF(Precificação!A9="","",Precificação!A9)</f>
      </c>
      <c r="F18" s="31">
        <f>IF(Precificação!A9="","",SUMIF('Controle de Vendas'!$B$3:$B$202,Precificação!A9,'Controle de Vendas'!$D$3:$D$202))</f>
      </c>
    </row>
    <row r="19" spans="5:6" x14ac:dyDescent="0.25">
      <c r="E19" s="31">
        <f>IF(Precificação!A10="","",Precificação!A10)</f>
      </c>
      <c r="F19" s="31">
        <f>IF(Precificação!A10="","",SUMIF('Controle de Vendas'!$B$3:$B$202,Precificação!A10,'Controle de Vendas'!$D$3:$D$202))</f>
      </c>
    </row>
    <row r="20" spans="5:6" x14ac:dyDescent="0.25">
      <c r="E20" s="31">
        <f>IF(Precificação!A11="","",Precificação!A11)</f>
      </c>
      <c r="F20" s="31">
        <f>IF(Precificação!A11="","",SUMIF('Controle de Vendas'!$B$3:$B$202,Precificação!A11,'Controle de Vendas'!$D$3:$D$202))</f>
      </c>
    </row>
    <row r="21" spans="5:6" x14ac:dyDescent="0.25">
      <c r="E21" s="31">
        <f>IF(Precificação!A12="","",Precificação!A12)</f>
      </c>
      <c r="F21" s="31">
        <f>IF(Precificação!A12="","",SUMIF('Controle de Vendas'!$B$3:$B$202,Precificação!A12,'Controle de Vendas'!$D$3:$D$202))</f>
      </c>
    </row>
    <row r="22" spans="5:6" x14ac:dyDescent="0.25">
      <c r="E22" s="31">
        <f>IF(Precificação!A13="","",Precificação!A13)</f>
      </c>
      <c r="F22" s="31">
        <f>IF(Precificação!A13="","",SUMIF('Controle de Vendas'!$B$3:$B$202,Precificação!A13,'Controle de Vendas'!$D$3:$D$202))</f>
      </c>
    </row>
    <row r="23" spans="5:6" x14ac:dyDescent="0.25">
      <c r="E23" s="31">
        <f>IF(Precificação!A14="","",Precificação!A14)</f>
      </c>
      <c r="F23" s="31">
        <f>IF(Precificação!A14="","",SUMIF('Controle de Vendas'!$B$3:$B$202,Precificação!A14,'Controle de Vendas'!$D$3:$D$202))</f>
      </c>
    </row>
    <row r="24" spans="5:6" x14ac:dyDescent="0.25">
      <c r="E24" s="31">
        <f>IF(Precificação!A15="","",Precificação!A15)</f>
      </c>
      <c r="F24" s="31">
        <f>IF(Precificação!A15="","",SUMIF('Controle de Vendas'!$B$3:$B$202,Precificação!A15,'Controle de Vendas'!$D$3:$D$202))</f>
      </c>
    </row>
    <row r="25" spans="5:6" x14ac:dyDescent="0.25">
      <c r="E25" s="31">
        <f>IF(Precificação!A16="","",Precificação!A16)</f>
      </c>
      <c r="F25" s="31">
        <f>IF(Precificação!A16="","",SUMIF('Controle de Vendas'!$B$3:$B$202,Precificação!A16,'Controle de Vendas'!$D$3:$D$202))</f>
      </c>
    </row>
    <row r="26" spans="5:6" x14ac:dyDescent="0.25">
      <c r="E26" s="31">
        <f>IF(Precificação!A17="","",Precificação!A17)</f>
      </c>
      <c r="F26" s="31">
        <f>IF(Precificação!A17="","",SUMIF('Controle de Vendas'!$B$3:$B$202,Precificação!A17,'Controle de Vendas'!$D$3:$D$202))</f>
      </c>
    </row>
    <row r="27" spans="5:6" x14ac:dyDescent="0.25">
      <c r="E27" s="31">
        <f>IF(Precificação!A18="","",Precificação!A18)</f>
      </c>
      <c r="F27" s="31">
        <f>IF(Precificação!A18="","",SUMIF('Controle de Vendas'!$B$3:$B$202,Precificação!A18,'Controle de Vendas'!$D$3:$D$202))</f>
      </c>
    </row>
    <row r="28" spans="5:6" x14ac:dyDescent="0.25">
      <c r="E28" s="31">
        <f>IF(Precificação!A19="","",Precificação!A19)</f>
      </c>
      <c r="F28" s="31">
        <f>IF(Precificação!A19="","",SUMIF('Controle de Vendas'!$B$3:$B$202,Precificação!A19,'Controle de Vendas'!$D$3:$D$202))</f>
      </c>
    </row>
    <row r="29" spans="5:6" x14ac:dyDescent="0.25">
      <c r="E29" s="31">
        <f>IF(Precificação!A20="","",Precificação!A20)</f>
      </c>
      <c r="F29" s="31">
        <f>IF(Precificação!A20="","",SUMIF('Controle de Vendas'!$B$3:$B$202,Precificação!A20,'Controle de Vendas'!$D$3:$D$202))</f>
      </c>
    </row>
    <row r="30" spans="5:6" x14ac:dyDescent="0.25">
      <c r="E30" s="31">
        <f>IF(Precificação!A21="","",Precificação!A21)</f>
      </c>
      <c r="F30" s="31">
        <f>IF(Precificação!A21="","",SUMIF('Controle de Vendas'!$B$3:$B$202,Precificação!A21,'Controle de Vendas'!$D$3:$D$202))</f>
      </c>
    </row>
    <row r="31" spans="5:6" x14ac:dyDescent="0.25">
      <c r="E31" s="31">
        <f>IF(Precificação!A22="","",Precificação!A22)</f>
      </c>
      <c r="F31" s="31">
        <f>IF(Precificação!A22="","",SUMIF('Controle de Vendas'!$B$3:$B$202,Precificação!A22,'Controle de Vendas'!$D$3:$D$202))</f>
      </c>
    </row>
    <row r="32" spans="5:6" x14ac:dyDescent="0.25">
      <c r="E32" s="31">
        <f>IF(Precificação!A23="","",Precificação!A23)</f>
      </c>
      <c r="F32" s="31">
        <f>IF(Precificação!A23="","",SUMIF('Controle de Vendas'!$B$3:$B$202,Precificação!A23,'Controle de Vendas'!$D$3:$D$202))</f>
      </c>
    </row>
    <row r="33" spans="5:6" x14ac:dyDescent="0.25">
      <c r="E33" s="31">
        <f>IF(Precificação!A24="","",Precificação!A24)</f>
      </c>
      <c r="F33" s="31">
        <f>IF(Precificação!A24="","",SUMIF('Controle de Vendas'!$B$3:$B$202,Precificação!A24,'Controle de Vendas'!$D$3:$D$202))</f>
      </c>
    </row>
    <row r="34" spans="5:6" x14ac:dyDescent="0.25">
      <c r="E34" s="31">
        <f>IF(Precificação!A25="","",Precificação!A25)</f>
      </c>
      <c r="F34" s="31">
        <f>IF(Precificação!A25="","",SUMIF('Controle de Vendas'!$B$3:$B$202,Precificação!A25,'Controle de Vendas'!$D$3:$D$202))</f>
      </c>
    </row>
    <row r="35" spans="5:6" x14ac:dyDescent="0.25">
      <c r="E35" s="31">
        <f>IF(Precificação!A26="","",Precificação!A26)</f>
      </c>
      <c r="F35" s="31">
        <f>IF(Precificação!A26="","",SUMIF('Controle de Vendas'!$B$3:$B$202,Precificação!A26,'Controle de Vendas'!$D$3:$D$202))</f>
      </c>
    </row>
    <row r="36" spans="5:6" x14ac:dyDescent="0.25">
      <c r="E36" s="31">
        <f>IF(Precificação!A27="","",Precificação!A27)</f>
      </c>
      <c r="F36" s="31">
        <f>IF(Precificação!A27="","",SUMIF('Controle de Vendas'!$B$3:$B$202,Precificação!A27,'Controle de Vendas'!$D$3:$D$202))</f>
      </c>
    </row>
    <row r="37" spans="5:6" x14ac:dyDescent="0.25">
      <c r="E37" s="31">
        <f>IF(Precificação!A28="","",Precificação!A28)</f>
      </c>
      <c r="F37" s="31">
        <f>IF(Precificação!A28="","",SUMIF('Controle de Vendas'!$B$3:$B$202,Precificação!A28,'Controle de Vendas'!$D$3:$D$202))</f>
      </c>
    </row>
    <row r="38" spans="5:6" x14ac:dyDescent="0.25">
      <c r="E38" s="31">
        <f>IF(Precificação!A29="","",Precificação!A29)</f>
      </c>
      <c r="F38" s="31">
        <f>IF(Precificação!A29="","",SUMIF('Controle de Vendas'!$B$3:$B$202,Precificação!A29,'Controle de Vendas'!$D$3:$D$202))</f>
      </c>
    </row>
    <row r="39" spans="5:6" x14ac:dyDescent="0.25">
      <c r="E39" s="31">
        <f>IF(Precificação!A30="","",Precificação!A30)</f>
      </c>
      <c r="F39" s="31">
        <f>IF(Precificação!A30="","",SUMIF('Controle de Vendas'!$B$3:$B$202,Precificação!A30,'Controle de Vendas'!$D$3:$D$202))</f>
      </c>
    </row>
    <row r="40" spans="5:6" x14ac:dyDescent="0.25">
      <c r="E40" s="31">
        <f>IF(Precificação!A31="","",Precificação!A31)</f>
      </c>
      <c r="F40" s="31">
        <f>IF(Precificação!A31="","",SUMIF('Controle de Vendas'!$B$3:$B$202,Precificação!A31,'Controle de Vendas'!$D$3:$D$202))</f>
      </c>
    </row>
    <row r="41" spans="5:6" x14ac:dyDescent="0.25">
      <c r="E41" s="31">
        <f>IF(Precificação!A32="","",Precificação!A32)</f>
      </c>
      <c r="F41" s="31">
        <f>IF(Precificação!A32="","",SUMIF('Controle de Vendas'!$B$3:$B$202,Precificação!A32,'Controle de Vendas'!$D$3:$D$202))</f>
      </c>
    </row>
    <row r="42" spans="5:6" x14ac:dyDescent="0.25">
      <c r="E42" s="31">
        <f>IF(Precificação!A33="","",Precificação!A33)</f>
      </c>
      <c r="F42" s="31">
        <f>IF(Precificação!A33="","",SUMIF('Controle de Vendas'!$B$3:$B$202,Precificação!A33,'Controle de Vendas'!$D$3:$D$202))</f>
      </c>
    </row>
    <row r="43" spans="5:6" x14ac:dyDescent="0.25">
      <c r="E43" s="31">
        <f>IF(Precificação!A34="","",Precificação!A34)</f>
      </c>
      <c r="F43" s="31">
        <f>IF(Precificação!A34="","",SUMIF('Controle de Vendas'!$B$3:$B$202,Precificação!A34,'Controle de Vendas'!$D$3:$D$202))</f>
      </c>
    </row>
    <row r="44" spans="5:6" x14ac:dyDescent="0.25">
      <c r="E44" s="31">
        <f>IF(Precificação!A35="","",Precificação!A35)</f>
      </c>
      <c r="F44" s="31">
        <f>IF(Precificação!A35="","",SUMIF('Controle de Vendas'!$B$3:$B$202,Precificação!A35,'Controle de Vendas'!$D$3:$D$202))</f>
      </c>
    </row>
    <row r="45" spans="5:6" x14ac:dyDescent="0.25">
      <c r="E45" s="31">
        <f>IF(Precificação!A36="","",Precificação!A36)</f>
      </c>
      <c r="F45" s="31">
        <f>IF(Precificação!A36="","",SUMIF('Controle de Vendas'!$B$3:$B$202,Precificação!A36,'Controle de Vendas'!$D$3:$D$202))</f>
      </c>
    </row>
    <row r="46" spans="5:6" x14ac:dyDescent="0.25">
      <c r="E46" s="31">
        <f>IF(Precificação!A37="","",Precificação!A37)</f>
      </c>
      <c r="F46" s="31">
        <f>IF(Precificação!A37="","",SUMIF('Controle de Vendas'!$B$3:$B$202,Precificação!A37,'Controle de Vendas'!$D$3:$D$202))</f>
      </c>
    </row>
    <row r="47" spans="5:6" x14ac:dyDescent="0.25">
      <c r="E47" s="31">
        <f>IF(Precificação!A38="","",Precificação!A38)</f>
      </c>
      <c r="F47" s="31">
        <f>IF(Precificação!A38="","",SUMIF('Controle de Vendas'!$B$3:$B$202,Precificação!A38,'Controle de Vendas'!$D$3:$D$202))</f>
      </c>
    </row>
    <row r="48" spans="5:6" x14ac:dyDescent="0.25">
      <c r="E48" s="31">
        <f>IF(Precificação!A39="","",Precificação!A39)</f>
      </c>
      <c r="F48" s="31">
        <f>IF(Precificação!A39="","",SUMIF('Controle de Vendas'!$B$3:$B$202,Precificação!A39,'Controle de Vendas'!$D$3:$D$202))</f>
      </c>
    </row>
    <row r="49" spans="5:6" x14ac:dyDescent="0.25">
      <c r="E49" s="31">
        <f>IF(Precificação!A40="","",Precificação!A40)</f>
      </c>
      <c r="F49" s="31">
        <f>IF(Precificação!A40="","",SUMIF('Controle de Vendas'!$B$3:$B$202,Precificação!A40,'Controle de Vendas'!$D$3:$D$202))</f>
      </c>
    </row>
    <row r="50" spans="5:6" x14ac:dyDescent="0.25">
      <c r="E50" s="31">
        <f>IF(Precificação!A41="","",Precificação!A41)</f>
      </c>
      <c r="F50" s="31">
        <f>IF(Precificação!A41="","",SUMIF('Controle de Vendas'!$B$3:$B$202,Precificação!A41,'Controle de Vendas'!$D$3:$D$202))</f>
      </c>
    </row>
    <row r="51" spans="5:6" x14ac:dyDescent="0.25">
      <c r="E51" s="31">
        <f>IF(Precificação!A42="","",Precificação!A42)</f>
      </c>
      <c r="F51" s="31">
        <f>IF(Precificação!A42="","",SUMIF('Controle de Vendas'!$B$3:$B$202,Precificação!A42,'Controle de Vendas'!$D$3:$D$202))</f>
      </c>
    </row>
    <row r="52" spans="5:6" x14ac:dyDescent="0.25">
      <c r="E52" s="31">
        <f>IF(Precificação!A43="","",Precificação!A43)</f>
      </c>
      <c r="F52" s="31">
        <f>IF(Precificação!A43="","",SUMIF('Controle de Vendas'!$B$3:$B$202,Precificação!A43,'Controle de Vendas'!$D$3:$D$202))</f>
      </c>
    </row>
    <row r="53" spans="5:6" x14ac:dyDescent="0.25">
      <c r="E53" s="31">
        <f>IF(Precificação!A44="","",Precificação!A44)</f>
      </c>
      <c r="F53" s="31">
        <f>IF(Precificação!A44="","",SUMIF('Controle de Vendas'!$B$3:$B$202,Precificação!A44,'Controle de Vendas'!$D$3:$D$202))</f>
      </c>
    </row>
    <row r="54" spans="5:6" x14ac:dyDescent="0.25">
      <c r="E54" s="31">
        <f>IF(Precificação!A45="","",Precificação!A45)</f>
      </c>
      <c r="F54" s="31">
        <f>IF(Precificação!A45="","",SUMIF('Controle de Vendas'!$B$3:$B$202,Precificação!A45,'Controle de Vendas'!$D$3:$D$202))</f>
      </c>
    </row>
    <row r="55" spans="5:6" x14ac:dyDescent="0.25">
      <c r="E55" s="31">
        <f>IF(Precificação!A46="","",Precificação!A46)</f>
      </c>
      <c r="F55" s="31">
        <f>IF(Precificação!A46="","",SUMIF('Controle de Vendas'!$B$3:$B$202,Precificação!A46,'Controle de Vendas'!$D$3:$D$202))</f>
      </c>
    </row>
    <row r="56" spans="5:6" x14ac:dyDescent="0.25">
      <c r="E56" s="31">
        <f>IF(Precificação!A47="","",Precificação!A47)</f>
      </c>
      <c r="F56" s="31">
        <f>IF(Precificação!A47="","",SUMIF('Controle de Vendas'!$B$3:$B$202,Precificação!A47,'Controle de Vendas'!$D$3:$D$202))</f>
      </c>
    </row>
    <row r="57" spans="5:6" x14ac:dyDescent="0.25">
      <c r="E57" s="31">
        <f>IF(Precificação!A48="","",Precificação!A48)</f>
      </c>
      <c r="F57" s="31">
        <f>IF(Precificação!A48="","",SUMIF('Controle de Vendas'!$B$3:$B$202,Precificação!A48,'Controle de Vendas'!$D$3:$D$202))</f>
      </c>
    </row>
    <row r="58" spans="5:6" x14ac:dyDescent="0.25">
      <c r="E58" s="31">
        <f>IF(Precificação!A49="","",Precificação!A49)</f>
      </c>
      <c r="F58" s="31">
        <f>IF(Precificação!A49="","",SUMIF('Controle de Vendas'!$B$3:$B$202,Precificação!A49,'Controle de Vendas'!$D$3:$D$202))</f>
      </c>
    </row>
    <row r="59" spans="5:6" x14ac:dyDescent="0.25">
      <c r="E59" s="31">
        <f>IF(Precificação!A50="","",Precificação!A50)</f>
      </c>
      <c r="F59" s="31">
        <f>IF(Precificação!A50="","",SUMIF('Controle de Vendas'!$B$3:$B$202,Precificação!A50,'Controle de Vendas'!$D$3:$D$202))</f>
      </c>
    </row>
    <row r="60" spans="5:6" x14ac:dyDescent="0.25">
      <c r="E60" s="31">
        <f>IF(Precificação!A51="","",Precificação!A51)</f>
      </c>
      <c r="F60" s="31">
        <f>IF(Precificação!A51="","",SUMIF('Controle de Vendas'!$B$3:$B$202,Precificação!A51,'Controle de Vendas'!$D$3:$D$202))</f>
      </c>
    </row>
    <row r="61" spans="5:6" x14ac:dyDescent="0.25">
      <c r="E61" s="31">
        <f>IF(Precificação!A52="","",Precificação!A52)</f>
      </c>
      <c r="F61" s="31">
        <f>IF(Precificação!A52="","",SUMIF('Controle de Vendas'!$B$3:$B$202,Precificação!A52,'Controle de Vendas'!$D$3:$D$202))</f>
      </c>
    </row>
  </sheetData>
  <mergeCells count="2">
    <mergeCell ref="E5:F5"/>
    <mergeCell ref="E11:F1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Início</vt:lpstr>
      <vt:lpstr>Controle de Estoque</vt:lpstr>
      <vt:lpstr>Precificação</vt:lpstr>
      <vt:lpstr>Controle de Vendas</vt:lpstr>
      <vt:lpstr>Resumo Financeiro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2026-06-25T22:25:41Z</dcterms:created>
  <dcterms:modified xsi:type="dcterms:W3CDTF">2026-06-25T22:25:41Z</dcterms:modified>
</cp:coreProperties>
</file>